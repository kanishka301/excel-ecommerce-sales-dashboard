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Lenovo\Desktop\e_commerce\"/>
    </mc:Choice>
  </mc:AlternateContent>
  <xr:revisionPtr revIDLastSave="0" documentId="13_ncr:1_{D95D82E4-DE37-44F3-BA4D-96C6121CF3E3}" xr6:coauthVersionLast="47" xr6:coauthVersionMax="47" xr10:uidLastSave="{00000000-0000-0000-0000-000000000000}"/>
  <bookViews>
    <workbookView xWindow="9510" yWindow="0" windowWidth="9780" windowHeight="11370" firstSheet="8" activeTab="9" xr2:uid="{346724B3-1C49-40AE-AA36-C77CF5D6DD09}"/>
  </bookViews>
  <sheets>
    <sheet name="Pivot_Heatmap_Order_Mode" sheetId="7" state="hidden" r:id="rId1"/>
    <sheet name="Pivot_Order_Size" sheetId="8" state="hidden" r:id="rId2"/>
    <sheet name="Pivot_Product_Gender" sheetId="9" state="hidden" r:id="rId3"/>
    <sheet name="Pivot_Geography_Quantity" sheetId="10" state="hidden" r:id="rId4"/>
    <sheet name="Pivot_Geography_Revenue" sheetId="12" state="hidden" r:id="rId5"/>
    <sheet name="Pivot_Items_Per_Order" sheetId="15" state="hidden" r:id="rId6"/>
    <sheet name="Pivot_Monthly_Ratings" sheetId="16" state="hidden" r:id="rId7"/>
    <sheet name="KPI_Calculations" sheetId="5" state="hidden" r:id="rId8"/>
    <sheet name="Raw_Data" sheetId="1" r:id="rId9"/>
    <sheet name="Dashboard" sheetId="6" r:id="rId10"/>
    <sheet name="Questions &amp; KPIs" sheetId="2" state="hidden" r:id="rId11"/>
  </sheets>
  <definedNames>
    <definedName name="_xlchart.v5.0" hidden="1">Pivot_Geography_Quantity!$G$3:$H$3</definedName>
    <definedName name="_xlchart.v5.1" hidden="1">Pivot_Geography_Quantity!$G$4:$H$63</definedName>
    <definedName name="_xlchart.v5.2" hidden="1">Pivot_Geography_Quantity!$I$3</definedName>
    <definedName name="_xlchart.v5.3" hidden="1">Pivot_Geography_Quantity!$I$4:$I$63</definedName>
    <definedName name="_xlchart.v5.4" hidden="1">Pivot_Geography_Revenue!$G$3:$H$3</definedName>
    <definedName name="_xlchart.v5.5" hidden="1">Pivot_Geography_Revenue!$G$4:$H$63</definedName>
    <definedName name="_xlchart.v5.6" hidden="1">Pivot_Geography_Revenue!$I$3</definedName>
    <definedName name="_xlchart.v5.7" hidden="1">Pivot_Geography_Revenue!$I$4:$I$63</definedName>
    <definedName name="Slicer_Gender_Value">#N/A</definedName>
    <definedName name="Slicer_Order_Mod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 i="10" l="1"/>
  <c r="I4" i="10"/>
  <c r="H5" i="10"/>
  <c r="I5" i="10"/>
  <c r="H6" i="10"/>
  <c r="I6" i="10"/>
  <c r="H7" i="10"/>
  <c r="I7" i="10"/>
  <c r="H8" i="10"/>
  <c r="I8" i="10"/>
  <c r="H9" i="10"/>
  <c r="I9" i="10"/>
  <c r="H10" i="10"/>
  <c r="I10" i="10"/>
  <c r="H11" i="10"/>
  <c r="I11" i="10"/>
  <c r="H12" i="10"/>
  <c r="I12" i="10"/>
  <c r="H13" i="10"/>
  <c r="I13" i="10"/>
  <c r="H14" i="10"/>
  <c r="I14" i="10"/>
  <c r="H15" i="10"/>
  <c r="I15" i="10"/>
  <c r="H16" i="10"/>
  <c r="I16" i="10"/>
  <c r="H17" i="10"/>
  <c r="I17" i="10"/>
  <c r="H18" i="10"/>
  <c r="I18" i="10"/>
  <c r="H19" i="10"/>
  <c r="I19" i="10"/>
  <c r="H20" i="10"/>
  <c r="I20" i="10"/>
  <c r="H21" i="10"/>
  <c r="I21" i="10"/>
  <c r="H22" i="10"/>
  <c r="I22" i="10"/>
  <c r="H23" i="10"/>
  <c r="I23" i="10"/>
  <c r="H24" i="10"/>
  <c r="I24" i="10"/>
  <c r="H25" i="10"/>
  <c r="I25" i="10"/>
  <c r="H26" i="10"/>
  <c r="I26" i="10"/>
  <c r="H27" i="10"/>
  <c r="I27" i="10"/>
  <c r="H28" i="10"/>
  <c r="I28" i="10"/>
  <c r="H29" i="10"/>
  <c r="I29" i="10"/>
  <c r="H30" i="10"/>
  <c r="I30" i="10"/>
  <c r="H31" i="10"/>
  <c r="I31" i="10"/>
  <c r="H32" i="10"/>
  <c r="I32" i="10"/>
  <c r="H33" i="10"/>
  <c r="I33" i="10"/>
  <c r="H34" i="10"/>
  <c r="I34" i="10"/>
  <c r="H35" i="10"/>
  <c r="I35" i="10"/>
  <c r="H36" i="10"/>
  <c r="I36" i="10"/>
  <c r="H37" i="10"/>
  <c r="I37" i="10"/>
  <c r="H38" i="10"/>
  <c r="I38" i="10"/>
  <c r="H39" i="10"/>
  <c r="I39" i="10"/>
  <c r="H40" i="10"/>
  <c r="I40" i="10"/>
  <c r="H41" i="10"/>
  <c r="I41" i="10"/>
  <c r="H42" i="10"/>
  <c r="I42" i="10"/>
  <c r="H43" i="10"/>
  <c r="I43" i="10"/>
  <c r="H44" i="10"/>
  <c r="I44" i="10"/>
  <c r="H45" i="10"/>
  <c r="I45" i="10"/>
  <c r="H46" i="10"/>
  <c r="I46" i="10"/>
  <c r="H47" i="10"/>
  <c r="I47" i="10"/>
  <c r="H48" i="10"/>
  <c r="I48" i="10"/>
  <c r="H49" i="10"/>
  <c r="I49" i="10"/>
  <c r="H50" i="10"/>
  <c r="I50" i="10"/>
  <c r="H51" i="10"/>
  <c r="I51" i="10"/>
  <c r="H52" i="10"/>
  <c r="I52" i="10"/>
  <c r="H53" i="10"/>
  <c r="I53" i="10"/>
  <c r="H54" i="10"/>
  <c r="I54" i="10"/>
  <c r="H55" i="10"/>
  <c r="I55" i="10"/>
  <c r="H56" i="10"/>
  <c r="I56" i="10"/>
  <c r="H57" i="10"/>
  <c r="I57" i="10"/>
  <c r="H58" i="10"/>
  <c r="I58" i="10"/>
  <c r="H59" i="10"/>
  <c r="I59" i="10"/>
  <c r="H60" i="10"/>
  <c r="I60" i="10"/>
  <c r="H61" i="10"/>
  <c r="I61" i="10"/>
  <c r="H62" i="10"/>
  <c r="I62" i="10"/>
  <c r="H63" i="10"/>
  <c r="I63"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4" i="10"/>
  <c r="H4" i="12"/>
  <c r="I4" i="12"/>
  <c r="H5" i="12"/>
  <c r="I5" i="12"/>
  <c r="H6" i="12"/>
  <c r="I6" i="12"/>
  <c r="H7" i="12"/>
  <c r="I7" i="12"/>
  <c r="H8" i="12"/>
  <c r="I8" i="12"/>
  <c r="H9" i="12"/>
  <c r="I9" i="12"/>
  <c r="H10" i="12"/>
  <c r="I10" i="12"/>
  <c r="H11" i="12"/>
  <c r="I11" i="12"/>
  <c r="H12" i="12"/>
  <c r="I12" i="12"/>
  <c r="H13" i="12"/>
  <c r="I13" i="12"/>
  <c r="H14" i="12"/>
  <c r="I14" i="12"/>
  <c r="H15" i="12"/>
  <c r="I15" i="12"/>
  <c r="H16" i="12"/>
  <c r="I16" i="12"/>
  <c r="H17" i="12"/>
  <c r="I17" i="12"/>
  <c r="H18" i="12"/>
  <c r="I18" i="12"/>
  <c r="H19" i="12"/>
  <c r="I19" i="12"/>
  <c r="H20" i="12"/>
  <c r="I20" i="12"/>
  <c r="H21" i="12"/>
  <c r="I21" i="12"/>
  <c r="H22" i="12"/>
  <c r="I22" i="12"/>
  <c r="H23" i="12"/>
  <c r="I23" i="12"/>
  <c r="H24" i="12"/>
  <c r="I24" i="12"/>
  <c r="H25" i="12"/>
  <c r="I25" i="12"/>
  <c r="H26" i="12"/>
  <c r="I26" i="12"/>
  <c r="H27" i="12"/>
  <c r="I27" i="12"/>
  <c r="H28" i="12"/>
  <c r="I28" i="12"/>
  <c r="H29" i="12"/>
  <c r="I29" i="12"/>
  <c r="H30" i="12"/>
  <c r="I30" i="12"/>
  <c r="H31" i="12"/>
  <c r="I31" i="12"/>
  <c r="H32" i="12"/>
  <c r="I32" i="12"/>
  <c r="H33" i="12"/>
  <c r="I33" i="12"/>
  <c r="H34" i="12"/>
  <c r="I34" i="12"/>
  <c r="H35" i="12"/>
  <c r="I35" i="12"/>
  <c r="H36" i="12"/>
  <c r="I36" i="12"/>
  <c r="H37" i="12"/>
  <c r="I37" i="12"/>
  <c r="H38" i="12"/>
  <c r="I38" i="12"/>
  <c r="H39" i="12"/>
  <c r="I39" i="12"/>
  <c r="H40" i="12"/>
  <c r="I40" i="12"/>
  <c r="H41" i="12"/>
  <c r="I41" i="12"/>
  <c r="H42" i="12"/>
  <c r="I42" i="12"/>
  <c r="H43" i="12"/>
  <c r="I43" i="12"/>
  <c r="H44" i="12"/>
  <c r="I44" i="12"/>
  <c r="H45" i="12"/>
  <c r="I45" i="12"/>
  <c r="H46" i="12"/>
  <c r="I46" i="12"/>
  <c r="H47" i="12"/>
  <c r="I47" i="12"/>
  <c r="H48" i="12"/>
  <c r="I48" i="12"/>
  <c r="H49" i="12"/>
  <c r="I49" i="12"/>
  <c r="H50" i="12"/>
  <c r="I50" i="12"/>
  <c r="H51" i="12"/>
  <c r="I51" i="12"/>
  <c r="H52" i="12"/>
  <c r="I52" i="12"/>
  <c r="H53" i="12"/>
  <c r="I53" i="12"/>
  <c r="H54" i="12"/>
  <c r="I54" i="12"/>
  <c r="H55" i="12"/>
  <c r="I55" i="12"/>
  <c r="H56" i="12"/>
  <c r="I56" i="12"/>
  <c r="H57" i="12"/>
  <c r="I57" i="12"/>
  <c r="H58" i="12"/>
  <c r="I58" i="12"/>
  <c r="H59" i="12"/>
  <c r="I59" i="12"/>
  <c r="H60" i="12"/>
  <c r="I60" i="12"/>
  <c r="H61" i="12"/>
  <c r="I61" i="12"/>
  <c r="H62" i="12"/>
  <c r="I62" i="12"/>
  <c r="H63" i="12"/>
  <c r="I63" i="12"/>
  <c r="H64" i="12"/>
  <c r="I6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4" i="12"/>
  <c r="H3" i="12"/>
  <c r="I3" i="12"/>
  <c r="G3" i="12"/>
  <c r="H3" i="10"/>
  <c r="G3" i="10"/>
  <c r="L6" i="7"/>
  <c r="K4" i="7"/>
  <c r="L4" i="7"/>
  <c r="M4" i="7"/>
  <c r="J4" i="7"/>
  <c r="I6" i="7"/>
  <c r="J6" i="7"/>
  <c r="K6" i="7"/>
  <c r="M6" i="7"/>
  <c r="I7" i="7"/>
  <c r="J7" i="7"/>
  <c r="K7" i="7"/>
  <c r="L7" i="7"/>
  <c r="M7" i="7"/>
  <c r="I8" i="7"/>
  <c r="J8" i="7"/>
  <c r="K8" i="7"/>
  <c r="L8" i="7"/>
  <c r="M8" i="7"/>
  <c r="I9" i="7"/>
  <c r="J9" i="7"/>
  <c r="K9" i="7"/>
  <c r="L9" i="7"/>
  <c r="M9" i="7"/>
  <c r="J5" i="7"/>
  <c r="K5" i="7"/>
  <c r="L5" i="7"/>
  <c r="M5" i="7"/>
  <c r="I5" i="7"/>
  <c r="L4" i="5"/>
  <c r="K4" i="5"/>
  <c r="J4" i="5"/>
  <c r="I4" i="5"/>
  <c r="H4" i="5"/>
  <c r="N52" i="1"/>
  <c r="M52" i="1"/>
  <c r="O2401" i="1" a="1"/>
  <c r="N2401" i="1"/>
  <c r="M2401" i="1"/>
  <c r="O2400" i="1" a="1"/>
  <c r="N2400" i="1"/>
  <c r="M2400" i="1"/>
  <c r="O2399" i="1" a="1"/>
  <c r="N2399" i="1"/>
  <c r="M2399" i="1"/>
  <c r="O2398" i="1" a="1"/>
  <c r="N2398" i="1"/>
  <c r="M2398" i="1"/>
  <c r="O2397" i="1" a="1"/>
  <c r="N2397" i="1"/>
  <c r="M2397" i="1"/>
  <c r="O2396" i="1" a="1"/>
  <c r="N2396" i="1"/>
  <c r="M2396" i="1"/>
  <c r="O2395" i="1" a="1"/>
  <c r="N2395" i="1"/>
  <c r="M2395" i="1"/>
  <c r="O2394" i="1" a="1"/>
  <c r="N2394" i="1"/>
  <c r="M2394" i="1"/>
  <c r="O2393" i="1" a="1"/>
  <c r="N2393" i="1"/>
  <c r="M2393" i="1"/>
  <c r="O2392" i="1" a="1"/>
  <c r="N2392" i="1"/>
  <c r="M2392" i="1"/>
  <c r="O2391" i="1" a="1"/>
  <c r="N2391" i="1"/>
  <c r="M2391" i="1"/>
  <c r="O2390" i="1" a="1"/>
  <c r="N2390" i="1"/>
  <c r="M2390" i="1"/>
  <c r="O2389" i="1" a="1"/>
  <c r="N2389" i="1"/>
  <c r="M2389" i="1"/>
  <c r="O2388" i="1" a="1"/>
  <c r="N2388" i="1"/>
  <c r="M2388" i="1"/>
  <c r="O2387" i="1" a="1"/>
  <c r="N2387" i="1"/>
  <c r="M2387" i="1"/>
  <c r="O2386" i="1" a="1"/>
  <c r="N2386" i="1"/>
  <c r="M2386" i="1"/>
  <c r="O2385" i="1" a="1"/>
  <c r="N2385" i="1"/>
  <c r="M2385" i="1"/>
  <c r="O2384" i="1" a="1"/>
  <c r="N2384" i="1"/>
  <c r="M2384" i="1"/>
  <c r="O2383" i="1" a="1"/>
  <c r="N2383" i="1"/>
  <c r="M2383" i="1"/>
  <c r="O2382" i="1" a="1"/>
  <c r="N2382" i="1"/>
  <c r="M2382" i="1"/>
  <c r="O2381" i="1" a="1"/>
  <c r="N2381" i="1"/>
  <c r="M2381" i="1"/>
  <c r="O2380" i="1" a="1"/>
  <c r="N2380" i="1"/>
  <c r="M2380" i="1"/>
  <c r="O2379" i="1" a="1"/>
  <c r="N2379" i="1"/>
  <c r="M2379" i="1"/>
  <c r="O2378" i="1" a="1"/>
  <c r="N2378" i="1"/>
  <c r="M2378" i="1"/>
  <c r="O2377" i="1" a="1"/>
  <c r="N2377" i="1"/>
  <c r="M2377" i="1"/>
  <c r="O2376" i="1" a="1"/>
  <c r="N2376" i="1"/>
  <c r="M2376" i="1"/>
  <c r="O2375" i="1" a="1"/>
  <c r="N2375" i="1"/>
  <c r="M2375" i="1"/>
  <c r="O2374" i="1" a="1"/>
  <c r="N2374" i="1"/>
  <c r="M2374" i="1"/>
  <c r="O2373" i="1" a="1"/>
  <c r="N2373" i="1"/>
  <c r="M2373" i="1"/>
  <c r="O2372" i="1" a="1"/>
  <c r="N2372" i="1"/>
  <c r="M2372" i="1"/>
  <c r="O2371" i="1" a="1"/>
  <c r="N2371" i="1"/>
  <c r="M2371" i="1"/>
  <c r="O2370" i="1" a="1"/>
  <c r="N2370" i="1"/>
  <c r="M2370" i="1"/>
  <c r="O2369" i="1" a="1"/>
  <c r="N2369" i="1"/>
  <c r="M2369" i="1"/>
  <c r="O2368" i="1" a="1"/>
  <c r="N2368" i="1"/>
  <c r="M2368" i="1"/>
  <c r="O2367" i="1" a="1"/>
  <c r="N2367" i="1"/>
  <c r="M2367" i="1"/>
  <c r="O2366" i="1" a="1"/>
  <c r="N2366" i="1"/>
  <c r="M2366" i="1"/>
  <c r="O2365" i="1" a="1"/>
  <c r="N2365" i="1"/>
  <c r="M2365" i="1"/>
  <c r="O2364" i="1" a="1"/>
  <c r="N2364" i="1"/>
  <c r="M2364" i="1"/>
  <c r="O2363" i="1" a="1"/>
  <c r="N2363" i="1"/>
  <c r="M2363" i="1"/>
  <c r="O2362" i="1" a="1"/>
  <c r="N2362" i="1"/>
  <c r="M2362" i="1"/>
  <c r="O2361" i="1" a="1"/>
  <c r="N2361" i="1"/>
  <c r="M2361" i="1"/>
  <c r="O2360" i="1" a="1"/>
  <c r="N2360" i="1"/>
  <c r="M2360" i="1"/>
  <c r="O2359" i="1" a="1"/>
  <c r="N2359" i="1"/>
  <c r="M2359" i="1"/>
  <c r="O2358" i="1" a="1"/>
  <c r="N2358" i="1"/>
  <c r="M2358" i="1"/>
  <c r="O2357" i="1" a="1"/>
  <c r="N2357" i="1"/>
  <c r="M2357" i="1"/>
  <c r="O2356" i="1" a="1"/>
  <c r="N2356" i="1"/>
  <c r="M2356" i="1"/>
  <c r="O2355" i="1" a="1"/>
  <c r="N2355" i="1"/>
  <c r="M2355" i="1"/>
  <c r="O2354" i="1" a="1"/>
  <c r="N2354" i="1"/>
  <c r="M2354" i="1"/>
  <c r="O2353" i="1" a="1"/>
  <c r="N2353" i="1"/>
  <c r="M2353" i="1"/>
  <c r="O2352" i="1" a="1"/>
  <c r="N2352" i="1"/>
  <c r="M2352" i="1"/>
  <c r="O2351" i="1" a="1"/>
  <c r="N2351" i="1"/>
  <c r="M2351" i="1"/>
  <c r="O2350" i="1" a="1"/>
  <c r="N2350" i="1"/>
  <c r="M2350" i="1"/>
  <c r="O2349" i="1" a="1"/>
  <c r="N2349" i="1"/>
  <c r="M2349" i="1"/>
  <c r="O2348" i="1" a="1"/>
  <c r="N2348" i="1"/>
  <c r="M2348" i="1"/>
  <c r="O2347" i="1" a="1"/>
  <c r="N2347" i="1"/>
  <c r="M2347" i="1"/>
  <c r="O2346" i="1" a="1"/>
  <c r="N2346" i="1"/>
  <c r="M2346" i="1"/>
  <c r="O2345" i="1" a="1"/>
  <c r="N2345" i="1"/>
  <c r="M2345" i="1"/>
  <c r="O2344" i="1" a="1"/>
  <c r="N2344" i="1"/>
  <c r="M2344" i="1"/>
  <c r="O2343" i="1" a="1"/>
  <c r="N2343" i="1"/>
  <c r="M2343" i="1"/>
  <c r="O2342" i="1" a="1"/>
  <c r="N2342" i="1"/>
  <c r="M2342" i="1"/>
  <c r="O2341" i="1" a="1"/>
  <c r="N2341" i="1"/>
  <c r="M2341" i="1"/>
  <c r="O2340" i="1" a="1"/>
  <c r="N2340" i="1"/>
  <c r="M2340" i="1"/>
  <c r="O2339" i="1" a="1"/>
  <c r="N2339" i="1"/>
  <c r="M2339" i="1"/>
  <c r="O2338" i="1" a="1"/>
  <c r="N2338" i="1"/>
  <c r="M2338" i="1"/>
  <c r="O2337" i="1" a="1"/>
  <c r="N2337" i="1"/>
  <c r="M2337" i="1"/>
  <c r="O2336" i="1" a="1"/>
  <c r="N2336" i="1"/>
  <c r="M2336" i="1"/>
  <c r="O2335" i="1" a="1"/>
  <c r="N2335" i="1"/>
  <c r="M2335" i="1"/>
  <c r="O2334" i="1" a="1"/>
  <c r="N2334" i="1"/>
  <c r="M2334" i="1"/>
  <c r="O2333" i="1" a="1"/>
  <c r="N2333" i="1"/>
  <c r="M2333" i="1"/>
  <c r="O2332" i="1" a="1"/>
  <c r="N2332" i="1"/>
  <c r="M2332" i="1"/>
  <c r="O2331" i="1" a="1"/>
  <c r="N2331" i="1"/>
  <c r="M2331" i="1"/>
  <c r="O2330" i="1" a="1"/>
  <c r="N2330" i="1"/>
  <c r="M2330" i="1"/>
  <c r="O2329" i="1" a="1"/>
  <c r="N2329" i="1"/>
  <c r="M2329" i="1"/>
  <c r="O2328" i="1" a="1"/>
  <c r="N2328" i="1"/>
  <c r="M2328" i="1"/>
  <c r="O2327" i="1" a="1"/>
  <c r="N2327" i="1"/>
  <c r="M2327" i="1"/>
  <c r="O2326" i="1" a="1"/>
  <c r="N2326" i="1"/>
  <c r="M2326" i="1"/>
  <c r="O2325" i="1" a="1"/>
  <c r="N2325" i="1"/>
  <c r="M2325" i="1"/>
  <c r="O2324" i="1" a="1"/>
  <c r="N2324" i="1"/>
  <c r="M2324" i="1"/>
  <c r="O2323" i="1" a="1"/>
  <c r="N2323" i="1"/>
  <c r="M2323" i="1"/>
  <c r="O2322" i="1" a="1"/>
  <c r="N2322" i="1"/>
  <c r="M2322" i="1"/>
  <c r="O2321" i="1" a="1"/>
  <c r="N2321" i="1"/>
  <c r="M2321" i="1"/>
  <c r="O2320" i="1" a="1"/>
  <c r="N2320" i="1"/>
  <c r="M2320" i="1"/>
  <c r="O2319" i="1" a="1"/>
  <c r="N2319" i="1"/>
  <c r="M2319" i="1"/>
  <c r="O2318" i="1" a="1"/>
  <c r="N2318" i="1"/>
  <c r="M2318" i="1"/>
  <c r="O2317" i="1" a="1"/>
  <c r="N2317" i="1"/>
  <c r="M2317" i="1"/>
  <c r="O2316" i="1" a="1"/>
  <c r="N2316" i="1"/>
  <c r="M2316" i="1"/>
  <c r="O2315" i="1" a="1"/>
  <c r="N2315" i="1"/>
  <c r="M2315" i="1"/>
  <c r="O2314" i="1" a="1"/>
  <c r="N2314" i="1"/>
  <c r="M2314" i="1"/>
  <c r="O2313" i="1" a="1"/>
  <c r="N2313" i="1"/>
  <c r="M2313" i="1"/>
  <c r="O2312" i="1" a="1"/>
  <c r="N2312" i="1"/>
  <c r="M2312" i="1"/>
  <c r="O2311" i="1" a="1"/>
  <c r="N2311" i="1"/>
  <c r="M2311" i="1"/>
  <c r="O2310" i="1" a="1"/>
  <c r="N2310" i="1"/>
  <c r="M2310" i="1"/>
  <c r="O2309" i="1" a="1"/>
  <c r="N2309" i="1"/>
  <c r="M2309" i="1"/>
  <c r="O2308" i="1" a="1"/>
  <c r="N2308" i="1"/>
  <c r="M2308" i="1"/>
  <c r="O2307" i="1" a="1"/>
  <c r="N2307" i="1"/>
  <c r="M2307" i="1"/>
  <c r="O2306" i="1" a="1"/>
  <c r="N2306" i="1"/>
  <c r="M2306" i="1"/>
  <c r="O2305" i="1" a="1"/>
  <c r="N2305" i="1"/>
  <c r="M2305" i="1"/>
  <c r="O2304" i="1" a="1"/>
  <c r="N2304" i="1"/>
  <c r="M2304" i="1"/>
  <c r="O2303" i="1" a="1"/>
  <c r="N2303" i="1"/>
  <c r="M2303" i="1"/>
  <c r="O2302" i="1" a="1"/>
  <c r="N2302" i="1"/>
  <c r="M2302" i="1"/>
  <c r="O2301" i="1" a="1"/>
  <c r="N2301" i="1"/>
  <c r="M2301" i="1"/>
  <c r="O2300" i="1" a="1"/>
  <c r="N2300" i="1"/>
  <c r="M2300" i="1"/>
  <c r="O2299" i="1" a="1"/>
  <c r="N2299" i="1"/>
  <c r="M2299" i="1"/>
  <c r="O2298" i="1" a="1"/>
  <c r="N2298" i="1"/>
  <c r="M2298" i="1"/>
  <c r="O2297" i="1" a="1"/>
  <c r="N2297" i="1"/>
  <c r="M2297" i="1"/>
  <c r="O2296" i="1" a="1"/>
  <c r="N2296" i="1"/>
  <c r="M2296" i="1"/>
  <c r="O2295" i="1" a="1"/>
  <c r="N2295" i="1"/>
  <c r="M2295" i="1"/>
  <c r="O2294" i="1" a="1"/>
  <c r="N2294" i="1"/>
  <c r="M2294" i="1"/>
  <c r="O2293" i="1" a="1"/>
  <c r="N2293" i="1"/>
  <c r="M2293" i="1"/>
  <c r="O2292" i="1" a="1"/>
  <c r="N2292" i="1"/>
  <c r="M2292" i="1"/>
  <c r="O2291" i="1" a="1"/>
  <c r="N2291" i="1"/>
  <c r="M2291" i="1"/>
  <c r="O2290" i="1" a="1"/>
  <c r="N2290" i="1"/>
  <c r="M2290" i="1"/>
  <c r="O2289" i="1" a="1"/>
  <c r="N2289" i="1"/>
  <c r="M2289" i="1"/>
  <c r="O2288" i="1" a="1"/>
  <c r="N2288" i="1"/>
  <c r="M2288" i="1"/>
  <c r="O2287" i="1" a="1"/>
  <c r="N2287" i="1"/>
  <c r="M2287" i="1"/>
  <c r="O2286" i="1" a="1"/>
  <c r="N2286" i="1"/>
  <c r="M2286" i="1"/>
  <c r="O2285" i="1" a="1"/>
  <c r="N2285" i="1"/>
  <c r="M2285" i="1"/>
  <c r="O2284" i="1" a="1"/>
  <c r="N2284" i="1"/>
  <c r="M2284" i="1"/>
  <c r="O2283" i="1" a="1"/>
  <c r="N2283" i="1"/>
  <c r="M2283" i="1"/>
  <c r="O2282" i="1" a="1"/>
  <c r="N2282" i="1"/>
  <c r="M2282" i="1"/>
  <c r="O2281" i="1" a="1"/>
  <c r="N2281" i="1"/>
  <c r="M2281" i="1"/>
  <c r="O2280" i="1" a="1"/>
  <c r="N2280" i="1"/>
  <c r="M2280" i="1"/>
  <c r="O2279" i="1" a="1"/>
  <c r="N2279" i="1"/>
  <c r="M2279" i="1"/>
  <c r="O2278" i="1" a="1"/>
  <c r="N2278" i="1"/>
  <c r="M2278" i="1"/>
  <c r="O2277" i="1" a="1"/>
  <c r="N2277" i="1"/>
  <c r="M2277" i="1"/>
  <c r="O2276" i="1" a="1"/>
  <c r="N2276" i="1"/>
  <c r="M2276" i="1"/>
  <c r="O2275" i="1" a="1"/>
  <c r="N2275" i="1"/>
  <c r="M2275" i="1"/>
  <c r="O2274" i="1" a="1"/>
  <c r="N2274" i="1"/>
  <c r="M2274" i="1"/>
  <c r="O2273" i="1" a="1"/>
  <c r="N2273" i="1"/>
  <c r="M2273" i="1"/>
  <c r="O2272" i="1" a="1"/>
  <c r="N2272" i="1"/>
  <c r="M2272" i="1"/>
  <c r="O2271" i="1" a="1"/>
  <c r="N2271" i="1"/>
  <c r="M2271" i="1"/>
  <c r="O2270" i="1" a="1"/>
  <c r="N2270" i="1"/>
  <c r="M2270" i="1"/>
  <c r="O2269" i="1" a="1"/>
  <c r="N2269" i="1"/>
  <c r="M2269" i="1"/>
  <c r="O2268" i="1" a="1"/>
  <c r="N2268" i="1"/>
  <c r="M2268" i="1"/>
  <c r="O2267" i="1" a="1"/>
  <c r="N2267" i="1"/>
  <c r="M2267" i="1"/>
  <c r="O2266" i="1" a="1"/>
  <c r="N2266" i="1"/>
  <c r="M2266" i="1"/>
  <c r="O2265" i="1" a="1"/>
  <c r="N2265" i="1"/>
  <c r="M2265" i="1"/>
  <c r="O2264" i="1" a="1"/>
  <c r="N2264" i="1"/>
  <c r="M2264" i="1"/>
  <c r="O2263" i="1" a="1"/>
  <c r="N2263" i="1"/>
  <c r="M2263" i="1"/>
  <c r="O2262" i="1" a="1"/>
  <c r="N2262" i="1"/>
  <c r="M2262" i="1"/>
  <c r="O2261" i="1" a="1"/>
  <c r="N2261" i="1"/>
  <c r="M2261" i="1"/>
  <c r="O2260" i="1" a="1"/>
  <c r="N2260" i="1"/>
  <c r="M2260" i="1"/>
  <c r="O2259" i="1" a="1"/>
  <c r="N2259" i="1"/>
  <c r="M2259" i="1"/>
  <c r="O2258" i="1" a="1"/>
  <c r="N2258" i="1"/>
  <c r="M2258" i="1"/>
  <c r="O2257" i="1" a="1"/>
  <c r="N2257" i="1"/>
  <c r="M2257" i="1"/>
  <c r="O2256" i="1" a="1"/>
  <c r="N2256" i="1"/>
  <c r="M2256" i="1"/>
  <c r="O2255" i="1" a="1"/>
  <c r="N2255" i="1"/>
  <c r="M2255" i="1"/>
  <c r="O2254" i="1" a="1"/>
  <c r="N2254" i="1"/>
  <c r="M2254" i="1"/>
  <c r="O2253" i="1" a="1"/>
  <c r="N2253" i="1"/>
  <c r="M2253" i="1"/>
  <c r="O2252" i="1" a="1"/>
  <c r="N2252" i="1"/>
  <c r="M2252" i="1"/>
  <c r="O2251" i="1" a="1"/>
  <c r="N2251" i="1"/>
  <c r="M2251" i="1"/>
  <c r="O2250" i="1" a="1"/>
  <c r="N2250" i="1"/>
  <c r="M2250" i="1"/>
  <c r="O2249" i="1" a="1"/>
  <c r="N2249" i="1"/>
  <c r="M2249" i="1"/>
  <c r="O2248" i="1" a="1"/>
  <c r="N2248" i="1"/>
  <c r="M2248" i="1"/>
  <c r="O2247" i="1" a="1"/>
  <c r="N2247" i="1"/>
  <c r="M2247" i="1"/>
  <c r="O2246" i="1" a="1"/>
  <c r="N2246" i="1"/>
  <c r="M2246" i="1"/>
  <c r="O2245" i="1" a="1"/>
  <c r="N2245" i="1"/>
  <c r="M2245" i="1"/>
  <c r="O2244" i="1" a="1"/>
  <c r="N2244" i="1"/>
  <c r="M2244" i="1"/>
  <c r="O2243" i="1" a="1"/>
  <c r="N2243" i="1"/>
  <c r="M2243" i="1"/>
  <c r="O2242" i="1" a="1"/>
  <c r="N2242" i="1"/>
  <c r="M2242" i="1"/>
  <c r="O2241" i="1" a="1"/>
  <c r="N2241" i="1"/>
  <c r="M2241" i="1"/>
  <c r="O2240" i="1" a="1"/>
  <c r="N2240" i="1"/>
  <c r="M2240" i="1"/>
  <c r="O2239" i="1" a="1"/>
  <c r="N2239" i="1"/>
  <c r="M2239" i="1"/>
  <c r="O2238" i="1" a="1"/>
  <c r="N2238" i="1"/>
  <c r="M2238" i="1"/>
  <c r="O2237" i="1" a="1"/>
  <c r="N2237" i="1"/>
  <c r="M2237" i="1"/>
  <c r="O2236" i="1" a="1"/>
  <c r="N2236" i="1"/>
  <c r="M2236" i="1"/>
  <c r="O2235" i="1" a="1"/>
  <c r="N2235" i="1"/>
  <c r="M2235" i="1"/>
  <c r="O2234" i="1" a="1"/>
  <c r="N2234" i="1"/>
  <c r="M2234" i="1"/>
  <c r="O2233" i="1" a="1"/>
  <c r="N2233" i="1"/>
  <c r="M2233" i="1"/>
  <c r="O2232" i="1" a="1"/>
  <c r="N2232" i="1"/>
  <c r="M2232" i="1"/>
  <c r="O2231" i="1" a="1"/>
  <c r="N2231" i="1"/>
  <c r="M2231" i="1"/>
  <c r="O2230" i="1" a="1"/>
  <c r="N2230" i="1"/>
  <c r="M2230" i="1"/>
  <c r="O2229" i="1" a="1"/>
  <c r="N2229" i="1"/>
  <c r="M2229" i="1"/>
  <c r="O2228" i="1" a="1"/>
  <c r="N2228" i="1"/>
  <c r="M2228" i="1"/>
  <c r="O2227" i="1" a="1"/>
  <c r="N2227" i="1"/>
  <c r="M2227" i="1"/>
  <c r="O2226" i="1" a="1"/>
  <c r="N2226" i="1"/>
  <c r="M2226" i="1"/>
  <c r="O2225" i="1" a="1"/>
  <c r="N2225" i="1"/>
  <c r="M2225" i="1"/>
  <c r="O2224" i="1" a="1"/>
  <c r="N2224" i="1"/>
  <c r="M2224" i="1"/>
  <c r="O2223" i="1" a="1"/>
  <c r="N2223" i="1"/>
  <c r="M2223" i="1"/>
  <c r="O2222" i="1" a="1"/>
  <c r="N2222" i="1"/>
  <c r="M2222" i="1"/>
  <c r="O2221" i="1" a="1"/>
  <c r="N2221" i="1"/>
  <c r="M2221" i="1"/>
  <c r="O2220" i="1" a="1"/>
  <c r="N2220" i="1"/>
  <c r="M2220" i="1"/>
  <c r="O2219" i="1" a="1"/>
  <c r="N2219" i="1"/>
  <c r="M2219" i="1"/>
  <c r="O2218" i="1" a="1"/>
  <c r="N2218" i="1"/>
  <c r="M2218" i="1"/>
  <c r="O2217" i="1" a="1"/>
  <c r="N2217" i="1"/>
  <c r="M2217" i="1"/>
  <c r="O2216" i="1" a="1"/>
  <c r="N2216" i="1"/>
  <c r="M2216" i="1"/>
  <c r="O2215" i="1" a="1"/>
  <c r="N2215" i="1"/>
  <c r="M2215" i="1"/>
  <c r="O2214" i="1" a="1"/>
  <c r="N2214" i="1"/>
  <c r="M2214" i="1"/>
  <c r="O2213" i="1" a="1"/>
  <c r="N2213" i="1"/>
  <c r="M2213" i="1"/>
  <c r="O2212" i="1" a="1"/>
  <c r="N2212" i="1"/>
  <c r="M2212" i="1"/>
  <c r="O2211" i="1" a="1"/>
  <c r="N2211" i="1"/>
  <c r="M2211" i="1"/>
  <c r="O2210" i="1" a="1"/>
  <c r="N2210" i="1"/>
  <c r="M2210" i="1"/>
  <c r="O2209" i="1" a="1"/>
  <c r="N2209" i="1"/>
  <c r="M2209" i="1"/>
  <c r="O2208" i="1" a="1"/>
  <c r="N2208" i="1"/>
  <c r="M2208" i="1"/>
  <c r="O2207" i="1" a="1"/>
  <c r="N2207" i="1"/>
  <c r="M2207" i="1"/>
  <c r="O2206" i="1" a="1"/>
  <c r="N2206" i="1"/>
  <c r="M2206" i="1"/>
  <c r="O2205" i="1" a="1"/>
  <c r="N2205" i="1"/>
  <c r="M2205" i="1"/>
  <c r="O2204" i="1" a="1"/>
  <c r="N2204" i="1"/>
  <c r="M2204" i="1"/>
  <c r="O2203" i="1" a="1"/>
  <c r="N2203" i="1"/>
  <c r="M2203" i="1"/>
  <c r="O2202" i="1" a="1"/>
  <c r="N2202" i="1"/>
  <c r="M2202" i="1"/>
  <c r="O2201" i="1" a="1"/>
  <c r="N2201" i="1"/>
  <c r="M2201" i="1"/>
  <c r="O2200" i="1" a="1"/>
  <c r="N2200" i="1"/>
  <c r="M2200" i="1"/>
  <c r="O2199" i="1" a="1"/>
  <c r="N2199" i="1"/>
  <c r="M2199" i="1"/>
  <c r="O2198" i="1" a="1"/>
  <c r="N2198" i="1"/>
  <c r="M2198" i="1"/>
  <c r="O2197" i="1" a="1"/>
  <c r="N2197" i="1"/>
  <c r="M2197" i="1"/>
  <c r="O2196" i="1" a="1"/>
  <c r="N2196" i="1"/>
  <c r="M2196" i="1"/>
  <c r="O2195" i="1" a="1"/>
  <c r="N2195" i="1"/>
  <c r="M2195" i="1"/>
  <c r="O2194" i="1" a="1"/>
  <c r="N2194" i="1"/>
  <c r="M2194" i="1"/>
  <c r="O2193" i="1" a="1"/>
  <c r="N2193" i="1"/>
  <c r="M2193" i="1"/>
  <c r="O2192" i="1" a="1"/>
  <c r="N2192" i="1"/>
  <c r="M2192" i="1"/>
  <c r="O2191" i="1" a="1"/>
  <c r="N2191" i="1"/>
  <c r="M2191" i="1"/>
  <c r="O2190" i="1" a="1"/>
  <c r="N2190" i="1"/>
  <c r="M2190" i="1"/>
  <c r="O2189" i="1" a="1"/>
  <c r="N2189" i="1"/>
  <c r="M2189" i="1"/>
  <c r="O2188" i="1" a="1"/>
  <c r="N2188" i="1"/>
  <c r="M2188" i="1"/>
  <c r="O2187" i="1" a="1"/>
  <c r="N2187" i="1"/>
  <c r="M2187" i="1"/>
  <c r="O2186" i="1" a="1"/>
  <c r="N2186" i="1"/>
  <c r="M2186" i="1"/>
  <c r="O2185" i="1" a="1"/>
  <c r="N2185" i="1"/>
  <c r="M2185" i="1"/>
  <c r="O2184" i="1" a="1"/>
  <c r="N2184" i="1"/>
  <c r="M2184" i="1"/>
  <c r="O2183" i="1" a="1"/>
  <c r="N2183" i="1"/>
  <c r="M2183" i="1"/>
  <c r="O2182" i="1" a="1"/>
  <c r="N2182" i="1"/>
  <c r="M2182" i="1"/>
  <c r="O2181" i="1" a="1"/>
  <c r="N2181" i="1"/>
  <c r="M2181" i="1"/>
  <c r="O2180" i="1" a="1"/>
  <c r="N2180" i="1"/>
  <c r="M2180" i="1"/>
  <c r="O2179" i="1" a="1"/>
  <c r="N2179" i="1"/>
  <c r="M2179" i="1"/>
  <c r="O2178" i="1" a="1"/>
  <c r="N2178" i="1"/>
  <c r="M2178" i="1"/>
  <c r="O2177" i="1" a="1"/>
  <c r="N2177" i="1"/>
  <c r="M2177" i="1"/>
  <c r="O2176" i="1" a="1"/>
  <c r="N2176" i="1"/>
  <c r="M2176" i="1"/>
  <c r="O2175" i="1" a="1"/>
  <c r="N2175" i="1"/>
  <c r="M2175" i="1"/>
  <c r="O2174" i="1" a="1"/>
  <c r="N2174" i="1"/>
  <c r="M2174" i="1"/>
  <c r="O2173" i="1" a="1"/>
  <c r="N2173" i="1"/>
  <c r="M2173" i="1"/>
  <c r="O2172" i="1" a="1"/>
  <c r="N2172" i="1"/>
  <c r="M2172" i="1"/>
  <c r="O2171" i="1" a="1"/>
  <c r="N2171" i="1"/>
  <c r="M2171" i="1"/>
  <c r="O2170" i="1" a="1"/>
  <c r="N2170" i="1"/>
  <c r="M2170" i="1"/>
  <c r="O2169" i="1" a="1"/>
  <c r="N2169" i="1"/>
  <c r="M2169" i="1"/>
  <c r="O2168" i="1" a="1"/>
  <c r="N2168" i="1"/>
  <c r="M2168" i="1"/>
  <c r="O2167" i="1" a="1"/>
  <c r="N2167" i="1"/>
  <c r="M2167" i="1"/>
  <c r="O2166" i="1" a="1"/>
  <c r="N2166" i="1"/>
  <c r="M2166" i="1"/>
  <c r="O2165" i="1" a="1"/>
  <c r="N2165" i="1"/>
  <c r="M2165" i="1"/>
  <c r="O2164" i="1" a="1"/>
  <c r="N2164" i="1"/>
  <c r="M2164" i="1"/>
  <c r="O2163" i="1" a="1"/>
  <c r="N2163" i="1"/>
  <c r="M2163" i="1"/>
  <c r="O2162" i="1" a="1"/>
  <c r="N2162" i="1"/>
  <c r="M2162" i="1"/>
  <c r="O2161" i="1" a="1"/>
  <c r="N2161" i="1"/>
  <c r="M2161" i="1"/>
  <c r="O2160" i="1" a="1"/>
  <c r="N2160" i="1"/>
  <c r="M2160" i="1"/>
  <c r="O2159" i="1" a="1"/>
  <c r="N2159" i="1"/>
  <c r="M2159" i="1"/>
  <c r="O2158" i="1" a="1"/>
  <c r="N2158" i="1"/>
  <c r="M2158" i="1"/>
  <c r="O2157" i="1" a="1"/>
  <c r="N2157" i="1"/>
  <c r="M2157" i="1"/>
  <c r="O2156" i="1" a="1"/>
  <c r="N2156" i="1"/>
  <c r="M2156" i="1"/>
  <c r="O2155" i="1" a="1"/>
  <c r="N2155" i="1"/>
  <c r="M2155" i="1"/>
  <c r="O2154" i="1" a="1"/>
  <c r="N2154" i="1"/>
  <c r="M2154" i="1"/>
  <c r="O2153" i="1" a="1"/>
  <c r="N2153" i="1"/>
  <c r="M2153" i="1"/>
  <c r="O2152" i="1" a="1"/>
  <c r="N2152" i="1"/>
  <c r="M2152" i="1"/>
  <c r="O2151" i="1" a="1"/>
  <c r="N2151" i="1"/>
  <c r="M2151" i="1"/>
  <c r="O2150" i="1" a="1"/>
  <c r="N2150" i="1"/>
  <c r="M2150" i="1"/>
  <c r="O2149" i="1" a="1"/>
  <c r="N2149" i="1"/>
  <c r="M2149" i="1"/>
  <c r="O2148" i="1" a="1"/>
  <c r="N2148" i="1"/>
  <c r="M2148" i="1"/>
  <c r="O2147" i="1" a="1"/>
  <c r="N2147" i="1"/>
  <c r="M2147" i="1"/>
  <c r="O2146" i="1" a="1"/>
  <c r="N2146" i="1"/>
  <c r="M2146" i="1"/>
  <c r="O2145" i="1" a="1"/>
  <c r="N2145" i="1"/>
  <c r="M2145" i="1"/>
  <c r="O2144" i="1" a="1"/>
  <c r="N2144" i="1"/>
  <c r="M2144" i="1"/>
  <c r="O2143" i="1" a="1"/>
  <c r="N2143" i="1"/>
  <c r="M2143" i="1"/>
  <c r="O2142" i="1" a="1"/>
  <c r="N2142" i="1"/>
  <c r="M2142" i="1"/>
  <c r="O2141" i="1" a="1"/>
  <c r="N2141" i="1"/>
  <c r="M2141" i="1"/>
  <c r="O2140" i="1" a="1"/>
  <c r="N2140" i="1"/>
  <c r="M2140" i="1"/>
  <c r="O2139" i="1" a="1"/>
  <c r="N2139" i="1"/>
  <c r="M2139" i="1"/>
  <c r="O2138" i="1" a="1"/>
  <c r="N2138" i="1"/>
  <c r="M2138" i="1"/>
  <c r="O2137" i="1" a="1"/>
  <c r="N2137" i="1"/>
  <c r="M2137" i="1"/>
  <c r="O2136" i="1" a="1"/>
  <c r="N2136" i="1"/>
  <c r="M2136" i="1"/>
  <c r="O2135" i="1" a="1"/>
  <c r="N2135" i="1"/>
  <c r="M2135" i="1"/>
  <c r="O2134" i="1" a="1"/>
  <c r="N2134" i="1"/>
  <c r="M2134" i="1"/>
  <c r="O2133" i="1" a="1"/>
  <c r="N2133" i="1"/>
  <c r="M2133" i="1"/>
  <c r="O2132" i="1" a="1"/>
  <c r="N2132" i="1"/>
  <c r="M2132" i="1"/>
  <c r="O2131" i="1" a="1"/>
  <c r="N2131" i="1"/>
  <c r="M2131" i="1"/>
  <c r="O2130" i="1" a="1"/>
  <c r="N2130" i="1"/>
  <c r="M2130" i="1"/>
  <c r="O2129" i="1" a="1"/>
  <c r="N2129" i="1"/>
  <c r="M2129" i="1"/>
  <c r="O2128" i="1" a="1"/>
  <c r="N2128" i="1"/>
  <c r="M2128" i="1"/>
  <c r="O2127" i="1" a="1"/>
  <c r="N2127" i="1"/>
  <c r="M2127" i="1"/>
  <c r="O2126" i="1" a="1"/>
  <c r="N2126" i="1"/>
  <c r="M2126" i="1"/>
  <c r="O2125" i="1" a="1"/>
  <c r="N2125" i="1"/>
  <c r="M2125" i="1"/>
  <c r="O2124" i="1" a="1"/>
  <c r="N2124" i="1"/>
  <c r="M2124" i="1"/>
  <c r="O2123" i="1" a="1"/>
  <c r="N2123" i="1"/>
  <c r="M2123" i="1"/>
  <c r="O2122" i="1" a="1"/>
  <c r="N2122" i="1"/>
  <c r="M2122" i="1"/>
  <c r="O2121" i="1" a="1"/>
  <c r="N2121" i="1"/>
  <c r="M2121" i="1"/>
  <c r="O2120" i="1" a="1"/>
  <c r="N2120" i="1"/>
  <c r="M2120" i="1"/>
  <c r="O2119" i="1" a="1"/>
  <c r="N2119" i="1"/>
  <c r="M2119" i="1"/>
  <c r="O2118" i="1" a="1"/>
  <c r="N2118" i="1"/>
  <c r="M2118" i="1"/>
  <c r="O2117" i="1" a="1"/>
  <c r="N2117" i="1"/>
  <c r="M2117" i="1"/>
  <c r="O2116" i="1" a="1"/>
  <c r="N2116" i="1"/>
  <c r="M2116" i="1"/>
  <c r="O2115" i="1" a="1"/>
  <c r="N2115" i="1"/>
  <c r="M2115" i="1"/>
  <c r="O2114" i="1" a="1"/>
  <c r="N2114" i="1"/>
  <c r="M2114" i="1"/>
  <c r="O2113" i="1" a="1"/>
  <c r="N2113" i="1"/>
  <c r="M2113" i="1"/>
  <c r="O2112" i="1" a="1"/>
  <c r="N2112" i="1"/>
  <c r="M2112" i="1"/>
  <c r="O2111" i="1" a="1"/>
  <c r="N2111" i="1"/>
  <c r="M2111" i="1"/>
  <c r="O2110" i="1" a="1"/>
  <c r="N2110" i="1"/>
  <c r="M2110" i="1"/>
  <c r="O2109" i="1" a="1"/>
  <c r="N2109" i="1"/>
  <c r="M2109" i="1"/>
  <c r="O2108" i="1" a="1"/>
  <c r="N2108" i="1"/>
  <c r="M2108" i="1"/>
  <c r="O2107" i="1" a="1"/>
  <c r="N2107" i="1"/>
  <c r="M2107" i="1"/>
  <c r="O2106" i="1" a="1"/>
  <c r="N2106" i="1"/>
  <c r="M2106" i="1"/>
  <c r="O2105" i="1" a="1"/>
  <c r="N2105" i="1"/>
  <c r="M2105" i="1"/>
  <c r="O2104" i="1" a="1"/>
  <c r="N2104" i="1"/>
  <c r="M2104" i="1"/>
  <c r="O2103" i="1" a="1"/>
  <c r="N2103" i="1"/>
  <c r="M2103" i="1"/>
  <c r="O2102" i="1" a="1"/>
  <c r="N2102" i="1"/>
  <c r="M2102" i="1"/>
  <c r="O2101" i="1" a="1"/>
  <c r="N2101" i="1"/>
  <c r="M2101" i="1"/>
  <c r="O2100" i="1" a="1"/>
  <c r="N2100" i="1"/>
  <c r="M2100" i="1"/>
  <c r="O2099" i="1" a="1"/>
  <c r="N2099" i="1"/>
  <c r="M2099" i="1"/>
  <c r="O2098" i="1" a="1"/>
  <c r="N2098" i="1"/>
  <c r="M2098" i="1"/>
  <c r="O2097" i="1" a="1"/>
  <c r="N2097" i="1"/>
  <c r="M2097" i="1"/>
  <c r="O2096" i="1" a="1"/>
  <c r="N2096" i="1"/>
  <c r="M2096" i="1"/>
  <c r="O2095" i="1" a="1"/>
  <c r="N2095" i="1"/>
  <c r="M2095" i="1"/>
  <c r="O2094" i="1" a="1"/>
  <c r="N2094" i="1"/>
  <c r="M2094" i="1"/>
  <c r="O2093" i="1" a="1"/>
  <c r="N2093" i="1"/>
  <c r="M2093" i="1"/>
  <c r="O2092" i="1" a="1"/>
  <c r="N2092" i="1"/>
  <c r="M2092" i="1"/>
  <c r="O2091" i="1" a="1"/>
  <c r="N2091" i="1"/>
  <c r="M2091" i="1"/>
  <c r="O2090" i="1" a="1"/>
  <c r="N2090" i="1"/>
  <c r="M2090" i="1"/>
  <c r="O2089" i="1" a="1"/>
  <c r="N2089" i="1"/>
  <c r="M2089" i="1"/>
  <c r="O2088" i="1" a="1"/>
  <c r="N2088" i="1"/>
  <c r="M2088" i="1"/>
  <c r="O2087" i="1" a="1"/>
  <c r="N2087" i="1"/>
  <c r="M2087" i="1"/>
  <c r="O2086" i="1" a="1"/>
  <c r="N2086" i="1"/>
  <c r="M2086" i="1"/>
  <c r="O2085" i="1" a="1"/>
  <c r="N2085" i="1"/>
  <c r="M2085" i="1"/>
  <c r="O2084" i="1" a="1"/>
  <c r="N2084" i="1"/>
  <c r="M2084" i="1"/>
  <c r="O2083" i="1" a="1"/>
  <c r="N2083" i="1"/>
  <c r="M2083" i="1"/>
  <c r="O2082" i="1" a="1"/>
  <c r="N2082" i="1"/>
  <c r="M2082" i="1"/>
  <c r="O2081" i="1" a="1"/>
  <c r="N2081" i="1"/>
  <c r="M2081" i="1"/>
  <c r="O2080" i="1" a="1"/>
  <c r="N2080" i="1"/>
  <c r="M2080" i="1"/>
  <c r="O2079" i="1" a="1"/>
  <c r="N2079" i="1"/>
  <c r="M2079" i="1"/>
  <c r="O2078" i="1" a="1"/>
  <c r="N2078" i="1"/>
  <c r="M2078" i="1"/>
  <c r="O2077" i="1" a="1"/>
  <c r="N2077" i="1"/>
  <c r="M2077" i="1"/>
  <c r="O2076" i="1" a="1"/>
  <c r="N2076" i="1"/>
  <c r="M2076" i="1"/>
  <c r="O2075" i="1" a="1"/>
  <c r="N2075" i="1"/>
  <c r="M2075" i="1"/>
  <c r="O2074" i="1" a="1"/>
  <c r="N2074" i="1"/>
  <c r="M2074" i="1"/>
  <c r="O2073" i="1" a="1"/>
  <c r="N2073" i="1"/>
  <c r="M2073" i="1"/>
  <c r="O2072" i="1" a="1"/>
  <c r="N2072" i="1"/>
  <c r="M2072" i="1"/>
  <c r="O2071" i="1" a="1"/>
  <c r="N2071" i="1"/>
  <c r="M2071" i="1"/>
  <c r="O2070" i="1" a="1"/>
  <c r="N2070" i="1"/>
  <c r="M2070" i="1"/>
  <c r="O2069" i="1" a="1"/>
  <c r="N2069" i="1"/>
  <c r="M2069" i="1"/>
  <c r="O2068" i="1" a="1"/>
  <c r="N2068" i="1"/>
  <c r="M2068" i="1"/>
  <c r="O2067" i="1" a="1"/>
  <c r="N2067" i="1"/>
  <c r="M2067" i="1"/>
  <c r="O2066" i="1" a="1"/>
  <c r="N2066" i="1"/>
  <c r="M2066" i="1"/>
  <c r="O2065" i="1" a="1"/>
  <c r="N2065" i="1"/>
  <c r="M2065" i="1"/>
  <c r="O2064" i="1" a="1"/>
  <c r="N2064" i="1"/>
  <c r="M2064" i="1"/>
  <c r="O2063" i="1" a="1"/>
  <c r="N2063" i="1"/>
  <c r="M2063" i="1"/>
  <c r="O2062" i="1" a="1"/>
  <c r="N2062" i="1"/>
  <c r="M2062" i="1"/>
  <c r="O2061" i="1" a="1"/>
  <c r="N2061" i="1"/>
  <c r="M2061" i="1"/>
  <c r="O2060" i="1" a="1"/>
  <c r="N2060" i="1"/>
  <c r="M2060" i="1"/>
  <c r="O2059" i="1" a="1"/>
  <c r="N2059" i="1"/>
  <c r="M2059" i="1"/>
  <c r="O2058" i="1" a="1"/>
  <c r="N2058" i="1"/>
  <c r="M2058" i="1"/>
  <c r="O2057" i="1" a="1"/>
  <c r="N2057" i="1"/>
  <c r="M2057" i="1"/>
  <c r="O2056" i="1" a="1"/>
  <c r="N2056" i="1"/>
  <c r="M2056" i="1"/>
  <c r="O2055" i="1" a="1"/>
  <c r="N2055" i="1"/>
  <c r="M2055" i="1"/>
  <c r="O2054" i="1" a="1"/>
  <c r="N2054" i="1"/>
  <c r="M2054" i="1"/>
  <c r="O2053" i="1" a="1"/>
  <c r="N2053" i="1"/>
  <c r="M2053" i="1"/>
  <c r="O2052" i="1" a="1"/>
  <c r="N2052" i="1"/>
  <c r="M2052" i="1"/>
  <c r="O2051" i="1" a="1"/>
  <c r="N2051" i="1"/>
  <c r="M2051" i="1"/>
  <c r="O2050" i="1" a="1"/>
  <c r="N2050" i="1"/>
  <c r="M2050" i="1"/>
  <c r="O2049" i="1" a="1"/>
  <c r="N2049" i="1"/>
  <c r="M2049" i="1"/>
  <c r="O2048" i="1" a="1"/>
  <c r="N2048" i="1"/>
  <c r="M2048" i="1"/>
  <c r="O2047" i="1" a="1"/>
  <c r="N2047" i="1"/>
  <c r="M2047" i="1"/>
  <c r="O2046" i="1" a="1"/>
  <c r="N2046" i="1"/>
  <c r="M2046" i="1"/>
  <c r="O2045" i="1" a="1"/>
  <c r="N2045" i="1"/>
  <c r="M2045" i="1"/>
  <c r="O2044" i="1" a="1"/>
  <c r="N2044" i="1"/>
  <c r="M2044" i="1"/>
  <c r="O2043" i="1" a="1"/>
  <c r="N2043" i="1"/>
  <c r="M2043" i="1"/>
  <c r="O2042" i="1" a="1"/>
  <c r="N2042" i="1"/>
  <c r="M2042" i="1"/>
  <c r="O2041" i="1" a="1"/>
  <c r="N2041" i="1"/>
  <c r="M2041" i="1"/>
  <c r="O2040" i="1" a="1"/>
  <c r="N2040" i="1"/>
  <c r="M2040" i="1"/>
  <c r="O2039" i="1" a="1"/>
  <c r="N2039" i="1"/>
  <c r="M2039" i="1"/>
  <c r="O2038" i="1" a="1"/>
  <c r="N2038" i="1"/>
  <c r="M2038" i="1"/>
  <c r="O2037" i="1" a="1"/>
  <c r="N2037" i="1"/>
  <c r="M2037" i="1"/>
  <c r="O2036" i="1" a="1"/>
  <c r="N2036" i="1"/>
  <c r="M2036" i="1"/>
  <c r="O2035" i="1" a="1"/>
  <c r="N2035" i="1"/>
  <c r="M2035" i="1"/>
  <c r="O2034" i="1" a="1"/>
  <c r="N2034" i="1"/>
  <c r="M2034" i="1"/>
  <c r="O2033" i="1" a="1"/>
  <c r="N2033" i="1"/>
  <c r="M2033" i="1"/>
  <c r="O2032" i="1" a="1"/>
  <c r="N2032" i="1"/>
  <c r="M2032" i="1"/>
  <c r="O2031" i="1" a="1"/>
  <c r="N2031" i="1"/>
  <c r="M2031" i="1"/>
  <c r="O2030" i="1" a="1"/>
  <c r="N2030" i="1"/>
  <c r="M2030" i="1"/>
  <c r="O2029" i="1" a="1"/>
  <c r="N2029" i="1"/>
  <c r="M2029" i="1"/>
  <c r="O2028" i="1" a="1"/>
  <c r="N2028" i="1"/>
  <c r="M2028" i="1"/>
  <c r="O2027" i="1" a="1"/>
  <c r="N2027" i="1"/>
  <c r="M2027" i="1"/>
  <c r="O2026" i="1" a="1"/>
  <c r="N2026" i="1"/>
  <c r="M2026" i="1"/>
  <c r="O2025" i="1" a="1"/>
  <c r="N2025" i="1"/>
  <c r="M2025" i="1"/>
  <c r="O2024" i="1" a="1"/>
  <c r="N2024" i="1"/>
  <c r="M2024" i="1"/>
  <c r="O2023" i="1" a="1"/>
  <c r="N2023" i="1"/>
  <c r="M2023" i="1"/>
  <c r="O2022" i="1" a="1"/>
  <c r="N2022" i="1"/>
  <c r="M2022" i="1"/>
  <c r="O2021" i="1" a="1"/>
  <c r="N2021" i="1"/>
  <c r="M2021" i="1"/>
  <c r="O2020" i="1" a="1"/>
  <c r="N2020" i="1"/>
  <c r="M2020" i="1"/>
  <c r="O2019" i="1" a="1"/>
  <c r="N2019" i="1"/>
  <c r="M2019" i="1"/>
  <c r="O2018" i="1" a="1"/>
  <c r="N2018" i="1"/>
  <c r="M2018" i="1"/>
  <c r="O2017" i="1" a="1"/>
  <c r="N2017" i="1"/>
  <c r="M2017" i="1"/>
  <c r="O2016" i="1" a="1"/>
  <c r="N2016" i="1"/>
  <c r="M2016" i="1"/>
  <c r="O2015" i="1" a="1"/>
  <c r="N2015" i="1"/>
  <c r="M2015" i="1"/>
  <c r="O2014" i="1" a="1"/>
  <c r="N2014" i="1"/>
  <c r="M2014" i="1"/>
  <c r="O2013" i="1" a="1"/>
  <c r="N2013" i="1"/>
  <c r="M2013" i="1"/>
  <c r="O2012" i="1" a="1"/>
  <c r="N2012" i="1"/>
  <c r="M2012" i="1"/>
  <c r="O2011" i="1" a="1"/>
  <c r="N2011" i="1"/>
  <c r="M2011" i="1"/>
  <c r="O2010" i="1" a="1"/>
  <c r="N2010" i="1"/>
  <c r="M2010" i="1"/>
  <c r="O2009" i="1" a="1"/>
  <c r="N2009" i="1"/>
  <c r="M2009" i="1"/>
  <c r="O2008" i="1" a="1"/>
  <c r="N2008" i="1"/>
  <c r="M2008" i="1"/>
  <c r="O2007" i="1" a="1"/>
  <c r="N2007" i="1"/>
  <c r="M2007" i="1"/>
  <c r="O2006" i="1" a="1"/>
  <c r="N2006" i="1"/>
  <c r="M2006" i="1"/>
  <c r="O2005" i="1" a="1"/>
  <c r="N2005" i="1"/>
  <c r="M2005" i="1"/>
  <c r="O2004" i="1" a="1"/>
  <c r="N2004" i="1"/>
  <c r="M2004" i="1"/>
  <c r="O2003" i="1" a="1"/>
  <c r="N2003" i="1"/>
  <c r="M2003" i="1"/>
  <c r="O2002" i="1" a="1"/>
  <c r="N2002" i="1"/>
  <c r="M2002" i="1"/>
  <c r="O2001" i="1" a="1"/>
  <c r="N2001" i="1"/>
  <c r="M2001" i="1"/>
  <c r="O2000" i="1" a="1"/>
  <c r="N2000" i="1"/>
  <c r="M2000" i="1"/>
  <c r="O1999" i="1" a="1"/>
  <c r="N1999" i="1"/>
  <c r="M1999" i="1"/>
  <c r="O1998" i="1" a="1"/>
  <c r="N1998" i="1"/>
  <c r="M1998" i="1"/>
  <c r="O1997" i="1" a="1"/>
  <c r="N1997" i="1"/>
  <c r="M1997" i="1"/>
  <c r="O1996" i="1" a="1"/>
  <c r="N1996" i="1"/>
  <c r="M1996" i="1"/>
  <c r="O1995" i="1" a="1"/>
  <c r="N1995" i="1"/>
  <c r="M1995" i="1"/>
  <c r="O1994" i="1" a="1"/>
  <c r="N1994" i="1"/>
  <c r="M1994" i="1"/>
  <c r="O1993" i="1" a="1"/>
  <c r="N1993" i="1"/>
  <c r="M1993" i="1"/>
  <c r="O1992" i="1" a="1"/>
  <c r="N1992" i="1"/>
  <c r="M1992" i="1"/>
  <c r="O1991" i="1" a="1"/>
  <c r="N1991" i="1"/>
  <c r="M1991" i="1"/>
  <c r="O1990" i="1" a="1"/>
  <c r="N1990" i="1"/>
  <c r="M1990" i="1"/>
  <c r="O1989" i="1" a="1"/>
  <c r="N1989" i="1"/>
  <c r="M1989" i="1"/>
  <c r="O1988" i="1" a="1"/>
  <c r="N1988" i="1"/>
  <c r="M1988" i="1"/>
  <c r="O1987" i="1" a="1"/>
  <c r="N1987" i="1"/>
  <c r="M1987" i="1"/>
  <c r="O1986" i="1" a="1"/>
  <c r="N1986" i="1"/>
  <c r="M1986" i="1"/>
  <c r="O1985" i="1" a="1"/>
  <c r="N1985" i="1"/>
  <c r="M1985" i="1"/>
  <c r="O1984" i="1" a="1"/>
  <c r="N1984" i="1"/>
  <c r="M1984" i="1"/>
  <c r="O1983" i="1" a="1"/>
  <c r="N1983" i="1"/>
  <c r="M1983" i="1"/>
  <c r="O1982" i="1" a="1"/>
  <c r="N1982" i="1"/>
  <c r="M1982" i="1"/>
  <c r="O1981" i="1" a="1"/>
  <c r="N1981" i="1"/>
  <c r="M1981" i="1"/>
  <c r="O1980" i="1" a="1"/>
  <c r="N1980" i="1"/>
  <c r="M1980" i="1"/>
  <c r="O1979" i="1" a="1"/>
  <c r="N1979" i="1"/>
  <c r="M1979" i="1"/>
  <c r="O1978" i="1" a="1"/>
  <c r="N1978" i="1"/>
  <c r="M1978" i="1"/>
  <c r="O1977" i="1" a="1"/>
  <c r="N1977" i="1"/>
  <c r="M1977" i="1"/>
  <c r="O1976" i="1" a="1"/>
  <c r="N1976" i="1"/>
  <c r="M1976" i="1"/>
  <c r="O1975" i="1" a="1"/>
  <c r="N1975" i="1"/>
  <c r="M1975" i="1"/>
  <c r="O1974" i="1" a="1"/>
  <c r="N1974" i="1"/>
  <c r="M1974" i="1"/>
  <c r="O1973" i="1" a="1"/>
  <c r="N1973" i="1"/>
  <c r="M1973" i="1"/>
  <c r="O1972" i="1" a="1"/>
  <c r="N1972" i="1"/>
  <c r="M1972" i="1"/>
  <c r="O1971" i="1" a="1"/>
  <c r="N1971" i="1"/>
  <c r="M1971" i="1"/>
  <c r="O1970" i="1" a="1"/>
  <c r="N1970" i="1"/>
  <c r="M1970" i="1"/>
  <c r="O1969" i="1" a="1"/>
  <c r="N1969" i="1"/>
  <c r="M1969" i="1"/>
  <c r="O1968" i="1" a="1"/>
  <c r="N1968" i="1"/>
  <c r="M1968" i="1"/>
  <c r="O1967" i="1" a="1"/>
  <c r="N1967" i="1"/>
  <c r="M1967" i="1"/>
  <c r="O1966" i="1" a="1"/>
  <c r="N1966" i="1"/>
  <c r="M1966" i="1"/>
  <c r="O1965" i="1" a="1"/>
  <c r="N1965" i="1"/>
  <c r="M1965" i="1"/>
  <c r="O1964" i="1" a="1"/>
  <c r="N1964" i="1"/>
  <c r="M1964" i="1"/>
  <c r="O1963" i="1" a="1"/>
  <c r="N1963" i="1"/>
  <c r="M1963" i="1"/>
  <c r="O1962" i="1" a="1"/>
  <c r="N1962" i="1"/>
  <c r="M1962" i="1"/>
  <c r="O1961" i="1" a="1"/>
  <c r="N1961" i="1"/>
  <c r="M1961" i="1"/>
  <c r="O1960" i="1" a="1"/>
  <c r="N1960" i="1"/>
  <c r="M1960" i="1"/>
  <c r="O1959" i="1" a="1"/>
  <c r="N1959" i="1"/>
  <c r="M1959" i="1"/>
  <c r="O1958" i="1" a="1"/>
  <c r="N1958" i="1"/>
  <c r="M1958" i="1"/>
  <c r="O1957" i="1" a="1"/>
  <c r="N1957" i="1"/>
  <c r="M1957" i="1"/>
  <c r="O1956" i="1" a="1"/>
  <c r="N1956" i="1"/>
  <c r="M1956" i="1"/>
  <c r="O1955" i="1" a="1"/>
  <c r="N1955" i="1"/>
  <c r="M1955" i="1"/>
  <c r="O1954" i="1" a="1"/>
  <c r="N1954" i="1"/>
  <c r="M1954" i="1"/>
  <c r="O1953" i="1" a="1"/>
  <c r="N1953" i="1"/>
  <c r="M1953" i="1"/>
  <c r="O1952" i="1" a="1"/>
  <c r="N1952" i="1"/>
  <c r="M1952" i="1"/>
  <c r="O1951" i="1" a="1"/>
  <c r="N1951" i="1"/>
  <c r="M1951" i="1"/>
  <c r="O1950" i="1" a="1"/>
  <c r="N1950" i="1"/>
  <c r="M1950" i="1"/>
  <c r="O1949" i="1" a="1"/>
  <c r="N1949" i="1"/>
  <c r="M1949" i="1"/>
  <c r="O1948" i="1" a="1"/>
  <c r="N1948" i="1"/>
  <c r="M1948" i="1"/>
  <c r="O1947" i="1" a="1"/>
  <c r="N1947" i="1"/>
  <c r="M1947" i="1"/>
  <c r="O1946" i="1" a="1"/>
  <c r="N1946" i="1"/>
  <c r="M1946" i="1"/>
  <c r="O1945" i="1" a="1"/>
  <c r="N1945" i="1"/>
  <c r="M1945" i="1"/>
  <c r="O1944" i="1" a="1"/>
  <c r="N1944" i="1"/>
  <c r="M1944" i="1"/>
  <c r="O1943" i="1" a="1"/>
  <c r="N1943" i="1"/>
  <c r="M1943" i="1"/>
  <c r="O1942" i="1" a="1"/>
  <c r="N1942" i="1"/>
  <c r="M1942" i="1"/>
  <c r="O1941" i="1" a="1"/>
  <c r="N1941" i="1"/>
  <c r="M1941" i="1"/>
  <c r="O1940" i="1" a="1"/>
  <c r="N1940" i="1"/>
  <c r="M1940" i="1"/>
  <c r="O1939" i="1" a="1"/>
  <c r="N1939" i="1"/>
  <c r="M1939" i="1"/>
  <c r="O1938" i="1" a="1"/>
  <c r="N1938" i="1"/>
  <c r="M1938" i="1"/>
  <c r="O1937" i="1" a="1"/>
  <c r="N1937" i="1"/>
  <c r="M1937" i="1"/>
  <c r="O1936" i="1" a="1"/>
  <c r="N1936" i="1"/>
  <c r="M1936" i="1"/>
  <c r="O1935" i="1" a="1"/>
  <c r="N1935" i="1"/>
  <c r="M1935" i="1"/>
  <c r="O1934" i="1" a="1"/>
  <c r="N1934" i="1"/>
  <c r="M1934" i="1"/>
  <c r="O1933" i="1" a="1"/>
  <c r="N1933" i="1"/>
  <c r="M1933" i="1"/>
  <c r="O1932" i="1" a="1"/>
  <c r="N1932" i="1"/>
  <c r="M1932" i="1"/>
  <c r="O1931" i="1" a="1"/>
  <c r="N1931" i="1"/>
  <c r="M1931" i="1"/>
  <c r="O1930" i="1" a="1"/>
  <c r="N1930" i="1"/>
  <c r="M1930" i="1"/>
  <c r="O1929" i="1" a="1"/>
  <c r="N1929" i="1"/>
  <c r="M1929" i="1"/>
  <c r="O1928" i="1" a="1"/>
  <c r="N1928" i="1"/>
  <c r="M1928" i="1"/>
  <c r="O1927" i="1" a="1"/>
  <c r="N1927" i="1"/>
  <c r="M1927" i="1"/>
  <c r="O1926" i="1" a="1"/>
  <c r="N1926" i="1"/>
  <c r="M1926" i="1"/>
  <c r="O1925" i="1" a="1"/>
  <c r="N1925" i="1"/>
  <c r="M1925" i="1"/>
  <c r="O1924" i="1" a="1"/>
  <c r="N1924" i="1"/>
  <c r="M1924" i="1"/>
  <c r="O1923" i="1" a="1"/>
  <c r="N1923" i="1"/>
  <c r="M1923" i="1"/>
  <c r="O1922" i="1" a="1"/>
  <c r="N1922" i="1"/>
  <c r="M1922" i="1"/>
  <c r="O1921" i="1" a="1"/>
  <c r="N1921" i="1"/>
  <c r="M1921" i="1"/>
  <c r="O1920" i="1" a="1"/>
  <c r="N1920" i="1"/>
  <c r="M1920" i="1"/>
  <c r="O1919" i="1" a="1"/>
  <c r="N1919" i="1"/>
  <c r="M1919" i="1"/>
  <c r="O1918" i="1" a="1"/>
  <c r="N1918" i="1"/>
  <c r="M1918" i="1"/>
  <c r="O1917" i="1" a="1"/>
  <c r="N1917" i="1"/>
  <c r="M1917" i="1"/>
  <c r="O1916" i="1" a="1"/>
  <c r="N1916" i="1"/>
  <c r="M1916" i="1"/>
  <c r="O1915" i="1" a="1"/>
  <c r="N1915" i="1"/>
  <c r="M1915" i="1"/>
  <c r="O1914" i="1" a="1"/>
  <c r="N1914" i="1"/>
  <c r="M1914" i="1"/>
  <c r="O1913" i="1" a="1"/>
  <c r="N1913" i="1"/>
  <c r="M1913" i="1"/>
  <c r="O1912" i="1" a="1"/>
  <c r="N1912" i="1"/>
  <c r="M1912" i="1"/>
  <c r="O1911" i="1" a="1"/>
  <c r="N1911" i="1"/>
  <c r="M1911" i="1"/>
  <c r="O1910" i="1" a="1"/>
  <c r="N1910" i="1"/>
  <c r="M1910" i="1"/>
  <c r="O1909" i="1" a="1"/>
  <c r="N1909" i="1"/>
  <c r="M1909" i="1"/>
  <c r="O1908" i="1" a="1"/>
  <c r="N1908" i="1"/>
  <c r="M1908" i="1"/>
  <c r="O1907" i="1" a="1"/>
  <c r="N1907" i="1"/>
  <c r="M1907" i="1"/>
  <c r="O1906" i="1" a="1"/>
  <c r="N1906" i="1"/>
  <c r="M1906" i="1"/>
  <c r="O1905" i="1" a="1"/>
  <c r="N1905" i="1"/>
  <c r="M1905" i="1"/>
  <c r="O1904" i="1" a="1"/>
  <c r="N1904" i="1"/>
  <c r="M1904" i="1"/>
  <c r="O1903" i="1" a="1"/>
  <c r="N1903" i="1"/>
  <c r="M1903" i="1"/>
  <c r="O1902" i="1" a="1"/>
  <c r="N1902" i="1"/>
  <c r="M1902" i="1"/>
  <c r="O1901" i="1" a="1"/>
  <c r="N1901" i="1"/>
  <c r="M1901" i="1"/>
  <c r="O1900" i="1" a="1"/>
  <c r="N1900" i="1"/>
  <c r="M1900" i="1"/>
  <c r="O1899" i="1" a="1"/>
  <c r="N1899" i="1"/>
  <c r="M1899" i="1"/>
  <c r="O1898" i="1" a="1"/>
  <c r="N1898" i="1"/>
  <c r="M1898" i="1"/>
  <c r="O1897" i="1" a="1"/>
  <c r="N1897" i="1"/>
  <c r="M1897" i="1"/>
  <c r="O1896" i="1" a="1"/>
  <c r="N1896" i="1"/>
  <c r="M1896" i="1"/>
  <c r="O1895" i="1" a="1"/>
  <c r="N1895" i="1"/>
  <c r="M1895" i="1"/>
  <c r="O1894" i="1" a="1"/>
  <c r="N1894" i="1"/>
  <c r="M1894" i="1"/>
  <c r="O1893" i="1" a="1"/>
  <c r="N1893" i="1"/>
  <c r="M1893" i="1"/>
  <c r="O1892" i="1" a="1"/>
  <c r="N1892" i="1"/>
  <c r="M1892" i="1"/>
  <c r="O1891" i="1" a="1"/>
  <c r="N1891" i="1"/>
  <c r="M1891" i="1"/>
  <c r="O1890" i="1" a="1"/>
  <c r="N1890" i="1"/>
  <c r="M1890" i="1"/>
  <c r="O1889" i="1" a="1"/>
  <c r="N1889" i="1"/>
  <c r="M1889" i="1"/>
  <c r="O1888" i="1" a="1"/>
  <c r="N1888" i="1"/>
  <c r="M1888" i="1"/>
  <c r="O1887" i="1" a="1"/>
  <c r="N1887" i="1"/>
  <c r="M1887" i="1"/>
  <c r="O1886" i="1" a="1"/>
  <c r="N1886" i="1"/>
  <c r="M1886" i="1"/>
  <c r="O1885" i="1" a="1"/>
  <c r="N1885" i="1"/>
  <c r="M1885" i="1"/>
  <c r="O1884" i="1" a="1"/>
  <c r="N1884" i="1"/>
  <c r="M1884" i="1"/>
  <c r="O1883" i="1" a="1"/>
  <c r="N1883" i="1"/>
  <c r="M1883" i="1"/>
  <c r="O1882" i="1" a="1"/>
  <c r="N1882" i="1"/>
  <c r="M1882" i="1"/>
  <c r="O1881" i="1" a="1"/>
  <c r="N1881" i="1"/>
  <c r="M1881" i="1"/>
  <c r="O1880" i="1" a="1"/>
  <c r="N1880" i="1"/>
  <c r="M1880" i="1"/>
  <c r="O1879" i="1" a="1"/>
  <c r="N1879" i="1"/>
  <c r="M1879" i="1"/>
  <c r="O1878" i="1" a="1"/>
  <c r="N1878" i="1"/>
  <c r="M1878" i="1"/>
  <c r="O1877" i="1" a="1"/>
  <c r="N1877" i="1"/>
  <c r="M1877" i="1"/>
  <c r="O1876" i="1" a="1"/>
  <c r="N1876" i="1"/>
  <c r="M1876" i="1"/>
  <c r="O1875" i="1" a="1"/>
  <c r="N1875" i="1"/>
  <c r="M1875" i="1"/>
  <c r="O1874" i="1" a="1"/>
  <c r="N1874" i="1"/>
  <c r="M1874" i="1"/>
  <c r="O1873" i="1" a="1"/>
  <c r="N1873" i="1"/>
  <c r="M1873" i="1"/>
  <c r="O1872" i="1" a="1"/>
  <c r="N1872" i="1"/>
  <c r="M1872" i="1"/>
  <c r="O1871" i="1" a="1"/>
  <c r="N1871" i="1"/>
  <c r="M1871" i="1"/>
  <c r="O1870" i="1" a="1"/>
  <c r="N1870" i="1"/>
  <c r="M1870" i="1"/>
  <c r="O1869" i="1" a="1"/>
  <c r="N1869" i="1"/>
  <c r="M1869" i="1"/>
  <c r="O1868" i="1" a="1"/>
  <c r="N1868" i="1"/>
  <c r="M1868" i="1"/>
  <c r="O1867" i="1" a="1"/>
  <c r="N1867" i="1"/>
  <c r="M1867" i="1"/>
  <c r="O1866" i="1" a="1"/>
  <c r="N1866" i="1"/>
  <c r="M1866" i="1"/>
  <c r="O1865" i="1" a="1"/>
  <c r="N1865" i="1"/>
  <c r="M1865" i="1"/>
  <c r="O1864" i="1" a="1"/>
  <c r="N1864" i="1"/>
  <c r="M1864" i="1"/>
  <c r="O1863" i="1" a="1"/>
  <c r="N1863" i="1"/>
  <c r="M1863" i="1"/>
  <c r="O1862" i="1" a="1"/>
  <c r="N1862" i="1"/>
  <c r="M1862" i="1"/>
  <c r="O1861" i="1" a="1"/>
  <c r="N1861" i="1"/>
  <c r="M1861" i="1"/>
  <c r="O1860" i="1" a="1"/>
  <c r="N1860" i="1"/>
  <c r="M1860" i="1"/>
  <c r="O1859" i="1" a="1"/>
  <c r="N1859" i="1"/>
  <c r="M1859" i="1"/>
  <c r="O1858" i="1" a="1"/>
  <c r="N1858" i="1"/>
  <c r="M1858" i="1"/>
  <c r="O1857" i="1" a="1"/>
  <c r="N1857" i="1"/>
  <c r="M1857" i="1"/>
  <c r="O1856" i="1" a="1"/>
  <c r="N1856" i="1"/>
  <c r="M1856" i="1"/>
  <c r="O1855" i="1" a="1"/>
  <c r="N1855" i="1"/>
  <c r="M1855" i="1"/>
  <c r="O1854" i="1" a="1"/>
  <c r="N1854" i="1"/>
  <c r="M1854" i="1"/>
  <c r="O1853" i="1" a="1"/>
  <c r="N1853" i="1"/>
  <c r="M1853" i="1"/>
  <c r="O1852" i="1" a="1"/>
  <c r="N1852" i="1"/>
  <c r="M1852" i="1"/>
  <c r="O1851" i="1" a="1"/>
  <c r="N1851" i="1"/>
  <c r="M1851" i="1"/>
  <c r="O1850" i="1" a="1"/>
  <c r="N1850" i="1"/>
  <c r="M1850" i="1"/>
  <c r="O1849" i="1" a="1"/>
  <c r="N1849" i="1"/>
  <c r="M1849" i="1"/>
  <c r="O1848" i="1" a="1"/>
  <c r="N1848" i="1"/>
  <c r="M1848" i="1"/>
  <c r="O1847" i="1" a="1"/>
  <c r="N1847" i="1"/>
  <c r="M1847" i="1"/>
  <c r="O1846" i="1" a="1"/>
  <c r="N1846" i="1"/>
  <c r="M1846" i="1"/>
  <c r="O1845" i="1" a="1"/>
  <c r="N1845" i="1"/>
  <c r="M1845" i="1"/>
  <c r="O1844" i="1" a="1"/>
  <c r="N1844" i="1"/>
  <c r="M1844" i="1"/>
  <c r="O1843" i="1" a="1"/>
  <c r="N1843" i="1"/>
  <c r="M1843" i="1"/>
  <c r="O1842" i="1" a="1"/>
  <c r="N1842" i="1"/>
  <c r="M1842" i="1"/>
  <c r="O1841" i="1" a="1"/>
  <c r="N1841" i="1"/>
  <c r="M1841" i="1"/>
  <c r="O1840" i="1" a="1"/>
  <c r="N1840" i="1"/>
  <c r="M1840" i="1"/>
  <c r="O1839" i="1" a="1"/>
  <c r="N1839" i="1"/>
  <c r="M1839" i="1"/>
  <c r="O1838" i="1" a="1"/>
  <c r="N1838" i="1"/>
  <c r="M1838" i="1"/>
  <c r="O1837" i="1" a="1"/>
  <c r="N1837" i="1"/>
  <c r="M1837" i="1"/>
  <c r="O1836" i="1" a="1"/>
  <c r="N1836" i="1"/>
  <c r="M1836" i="1"/>
  <c r="O1835" i="1" a="1"/>
  <c r="N1835" i="1"/>
  <c r="M1835" i="1"/>
  <c r="O1834" i="1" a="1"/>
  <c r="N1834" i="1"/>
  <c r="M1834" i="1"/>
  <c r="O1833" i="1" a="1"/>
  <c r="N1833" i="1"/>
  <c r="M1833" i="1"/>
  <c r="O1832" i="1" a="1"/>
  <c r="N1832" i="1"/>
  <c r="M1832" i="1"/>
  <c r="O1831" i="1" a="1"/>
  <c r="N1831" i="1"/>
  <c r="M1831" i="1"/>
  <c r="O1830" i="1" a="1"/>
  <c r="N1830" i="1"/>
  <c r="M1830" i="1"/>
  <c r="O1829" i="1" a="1"/>
  <c r="N1829" i="1"/>
  <c r="M1829" i="1"/>
  <c r="O1828" i="1" a="1"/>
  <c r="N1828" i="1"/>
  <c r="M1828" i="1"/>
  <c r="O1827" i="1" a="1"/>
  <c r="N1827" i="1"/>
  <c r="M1827" i="1"/>
  <c r="O1826" i="1" a="1"/>
  <c r="N1826" i="1"/>
  <c r="M1826" i="1"/>
  <c r="O1825" i="1" a="1"/>
  <c r="N1825" i="1"/>
  <c r="M1825" i="1"/>
  <c r="O1824" i="1" a="1"/>
  <c r="N1824" i="1"/>
  <c r="M1824" i="1"/>
  <c r="O1823" i="1" a="1"/>
  <c r="N1823" i="1"/>
  <c r="M1823" i="1"/>
  <c r="O1822" i="1" a="1"/>
  <c r="N1822" i="1"/>
  <c r="M1822" i="1"/>
  <c r="O1821" i="1" a="1"/>
  <c r="N1821" i="1"/>
  <c r="M1821" i="1"/>
  <c r="O1820" i="1" a="1"/>
  <c r="N1820" i="1"/>
  <c r="M1820" i="1"/>
  <c r="O1819" i="1" a="1"/>
  <c r="N1819" i="1"/>
  <c r="M1819" i="1"/>
  <c r="O1818" i="1" a="1"/>
  <c r="N1818" i="1"/>
  <c r="M1818" i="1"/>
  <c r="O1817" i="1" a="1"/>
  <c r="N1817" i="1"/>
  <c r="M1817" i="1"/>
  <c r="O1816" i="1" a="1"/>
  <c r="N1816" i="1"/>
  <c r="M1816" i="1"/>
  <c r="O1815" i="1" a="1"/>
  <c r="N1815" i="1"/>
  <c r="M1815" i="1"/>
  <c r="O1814" i="1" a="1"/>
  <c r="N1814" i="1"/>
  <c r="M1814" i="1"/>
  <c r="O1813" i="1" a="1"/>
  <c r="N1813" i="1"/>
  <c r="M1813" i="1"/>
  <c r="O1812" i="1" a="1"/>
  <c r="N1812" i="1"/>
  <c r="M1812" i="1"/>
  <c r="O1811" i="1" a="1"/>
  <c r="N1811" i="1"/>
  <c r="M1811" i="1"/>
  <c r="O1810" i="1" a="1"/>
  <c r="N1810" i="1"/>
  <c r="M1810" i="1"/>
  <c r="O1809" i="1" a="1"/>
  <c r="N1809" i="1"/>
  <c r="M1809" i="1"/>
  <c r="O1808" i="1" a="1"/>
  <c r="N1808" i="1"/>
  <c r="M1808" i="1"/>
  <c r="O1807" i="1" a="1"/>
  <c r="N1807" i="1"/>
  <c r="M1807" i="1"/>
  <c r="O1806" i="1" a="1"/>
  <c r="N1806" i="1"/>
  <c r="M1806" i="1"/>
  <c r="O1805" i="1" a="1"/>
  <c r="N1805" i="1"/>
  <c r="M1805" i="1"/>
  <c r="O1804" i="1" a="1"/>
  <c r="N1804" i="1"/>
  <c r="M1804" i="1"/>
  <c r="O1803" i="1" a="1"/>
  <c r="N1803" i="1"/>
  <c r="M1803" i="1"/>
  <c r="O1802" i="1" a="1"/>
  <c r="N1802" i="1"/>
  <c r="M1802" i="1"/>
  <c r="O1801" i="1" a="1"/>
  <c r="N1801" i="1"/>
  <c r="M1801" i="1"/>
  <c r="O1800" i="1" a="1"/>
  <c r="N1800" i="1"/>
  <c r="M1800" i="1"/>
  <c r="O1799" i="1" a="1"/>
  <c r="N1799" i="1"/>
  <c r="M1799" i="1"/>
  <c r="O1798" i="1" a="1"/>
  <c r="N1798" i="1"/>
  <c r="M1798" i="1"/>
  <c r="O1797" i="1" a="1"/>
  <c r="N1797" i="1"/>
  <c r="M1797" i="1"/>
  <c r="O1796" i="1" a="1"/>
  <c r="N1796" i="1"/>
  <c r="M1796" i="1"/>
  <c r="O1795" i="1" a="1"/>
  <c r="N1795" i="1"/>
  <c r="M1795" i="1"/>
  <c r="O1794" i="1" a="1"/>
  <c r="N1794" i="1"/>
  <c r="M1794" i="1"/>
  <c r="O1793" i="1" a="1"/>
  <c r="N1793" i="1"/>
  <c r="M1793" i="1"/>
  <c r="O1792" i="1" a="1"/>
  <c r="N1792" i="1"/>
  <c r="M1792" i="1"/>
  <c r="O1791" i="1" a="1"/>
  <c r="N1791" i="1"/>
  <c r="M1791" i="1"/>
  <c r="O1790" i="1" a="1"/>
  <c r="N1790" i="1"/>
  <c r="M1790" i="1"/>
  <c r="O1789" i="1" a="1"/>
  <c r="N1789" i="1"/>
  <c r="M1789" i="1"/>
  <c r="O1788" i="1" a="1"/>
  <c r="N1788" i="1"/>
  <c r="M1788" i="1"/>
  <c r="O1787" i="1" a="1"/>
  <c r="N1787" i="1"/>
  <c r="M1787" i="1"/>
  <c r="O1786" i="1" a="1"/>
  <c r="N1786" i="1"/>
  <c r="M1786" i="1"/>
  <c r="O1785" i="1" a="1"/>
  <c r="N1785" i="1"/>
  <c r="M1785" i="1"/>
  <c r="O1784" i="1" a="1"/>
  <c r="N1784" i="1"/>
  <c r="M1784" i="1"/>
  <c r="O1783" i="1" a="1"/>
  <c r="N1783" i="1"/>
  <c r="M1783" i="1"/>
  <c r="O1782" i="1" a="1"/>
  <c r="N1782" i="1"/>
  <c r="M1782" i="1"/>
  <c r="O1781" i="1" a="1"/>
  <c r="N1781" i="1"/>
  <c r="M1781" i="1"/>
  <c r="O1780" i="1" a="1"/>
  <c r="N1780" i="1"/>
  <c r="M1780" i="1"/>
  <c r="O1779" i="1" a="1"/>
  <c r="N1779" i="1"/>
  <c r="M1779" i="1"/>
  <c r="O1778" i="1" a="1"/>
  <c r="N1778" i="1"/>
  <c r="M1778" i="1"/>
  <c r="O1777" i="1" a="1"/>
  <c r="N1777" i="1"/>
  <c r="M1777" i="1"/>
  <c r="O1776" i="1" a="1"/>
  <c r="N1776" i="1"/>
  <c r="M1776" i="1"/>
  <c r="O1775" i="1" a="1"/>
  <c r="N1775" i="1"/>
  <c r="M1775" i="1"/>
  <c r="O1774" i="1" a="1"/>
  <c r="N1774" i="1"/>
  <c r="M1774" i="1"/>
  <c r="O1773" i="1" a="1"/>
  <c r="N1773" i="1"/>
  <c r="M1773" i="1"/>
  <c r="O1772" i="1" a="1"/>
  <c r="N1772" i="1"/>
  <c r="M1772" i="1"/>
  <c r="O1771" i="1" a="1"/>
  <c r="N1771" i="1"/>
  <c r="M1771" i="1"/>
  <c r="O1770" i="1" a="1"/>
  <c r="N1770" i="1"/>
  <c r="M1770" i="1"/>
  <c r="O1769" i="1" a="1"/>
  <c r="N1769" i="1"/>
  <c r="M1769" i="1"/>
  <c r="O1768" i="1" a="1"/>
  <c r="N1768" i="1"/>
  <c r="M1768" i="1"/>
  <c r="O1767" i="1" a="1"/>
  <c r="N1767" i="1"/>
  <c r="M1767" i="1"/>
  <c r="O1766" i="1" a="1"/>
  <c r="N1766" i="1"/>
  <c r="M1766" i="1"/>
  <c r="O1765" i="1" a="1"/>
  <c r="N1765" i="1"/>
  <c r="M1765" i="1"/>
  <c r="O1764" i="1" a="1"/>
  <c r="N1764" i="1"/>
  <c r="M1764" i="1"/>
  <c r="O1763" i="1" a="1"/>
  <c r="N1763" i="1"/>
  <c r="M1763" i="1"/>
  <c r="O1762" i="1" a="1"/>
  <c r="N1762" i="1"/>
  <c r="M1762" i="1"/>
  <c r="O1761" i="1" a="1"/>
  <c r="N1761" i="1"/>
  <c r="M1761" i="1"/>
  <c r="O1760" i="1" a="1"/>
  <c r="N1760" i="1"/>
  <c r="M1760" i="1"/>
  <c r="O1759" i="1" a="1"/>
  <c r="N1759" i="1"/>
  <c r="M1759" i="1"/>
  <c r="O1758" i="1" a="1"/>
  <c r="N1758" i="1"/>
  <c r="M1758" i="1"/>
  <c r="O1757" i="1" a="1"/>
  <c r="N1757" i="1"/>
  <c r="M1757" i="1"/>
  <c r="O1756" i="1" a="1"/>
  <c r="N1756" i="1"/>
  <c r="M1756" i="1"/>
  <c r="O1755" i="1" a="1"/>
  <c r="N1755" i="1"/>
  <c r="M1755" i="1"/>
  <c r="O1754" i="1" a="1"/>
  <c r="N1754" i="1"/>
  <c r="M1754" i="1"/>
  <c r="O1753" i="1" a="1"/>
  <c r="N1753" i="1"/>
  <c r="M1753" i="1"/>
  <c r="O1752" i="1" a="1"/>
  <c r="N1752" i="1"/>
  <c r="M1752" i="1"/>
  <c r="O1751" i="1" a="1"/>
  <c r="N1751" i="1"/>
  <c r="M1751" i="1"/>
  <c r="O1750" i="1" a="1"/>
  <c r="N1750" i="1"/>
  <c r="M1750" i="1"/>
  <c r="O1749" i="1" a="1"/>
  <c r="N1749" i="1"/>
  <c r="M1749" i="1"/>
  <c r="O1748" i="1" a="1"/>
  <c r="N1748" i="1"/>
  <c r="M1748" i="1"/>
  <c r="O1747" i="1" a="1"/>
  <c r="N1747" i="1"/>
  <c r="M1747" i="1"/>
  <c r="O1746" i="1" a="1"/>
  <c r="N1746" i="1"/>
  <c r="M1746" i="1"/>
  <c r="O1745" i="1" a="1"/>
  <c r="N1745" i="1"/>
  <c r="M1745" i="1"/>
  <c r="O1744" i="1" a="1"/>
  <c r="N1744" i="1"/>
  <c r="M1744" i="1"/>
  <c r="O1743" i="1" a="1"/>
  <c r="N1743" i="1"/>
  <c r="M1743" i="1"/>
  <c r="O1742" i="1" a="1"/>
  <c r="N1742" i="1"/>
  <c r="M1742" i="1"/>
  <c r="O1741" i="1" a="1"/>
  <c r="N1741" i="1"/>
  <c r="M1741" i="1"/>
  <c r="O1740" i="1" a="1"/>
  <c r="N1740" i="1"/>
  <c r="M1740" i="1"/>
  <c r="O1739" i="1" a="1"/>
  <c r="N1739" i="1"/>
  <c r="M1739" i="1"/>
  <c r="O1738" i="1" a="1"/>
  <c r="N1738" i="1"/>
  <c r="M1738" i="1"/>
  <c r="O1737" i="1" a="1"/>
  <c r="N1737" i="1"/>
  <c r="M1737" i="1"/>
  <c r="O1736" i="1" a="1"/>
  <c r="N1736" i="1"/>
  <c r="M1736" i="1"/>
  <c r="O1735" i="1" a="1"/>
  <c r="N1735" i="1"/>
  <c r="M1735" i="1"/>
  <c r="O1734" i="1" a="1"/>
  <c r="N1734" i="1"/>
  <c r="M1734" i="1"/>
  <c r="O1733" i="1" a="1"/>
  <c r="N1733" i="1"/>
  <c r="M1733" i="1"/>
  <c r="O1732" i="1" a="1"/>
  <c r="N1732" i="1"/>
  <c r="M1732" i="1"/>
  <c r="O1731" i="1" a="1"/>
  <c r="N1731" i="1"/>
  <c r="M1731" i="1"/>
  <c r="O1730" i="1" a="1"/>
  <c r="N1730" i="1"/>
  <c r="M1730" i="1"/>
  <c r="O1729" i="1" a="1"/>
  <c r="N1729" i="1"/>
  <c r="M1729" i="1"/>
  <c r="O1728" i="1" a="1"/>
  <c r="N1728" i="1"/>
  <c r="M1728" i="1"/>
  <c r="O1727" i="1" a="1"/>
  <c r="N1727" i="1"/>
  <c r="M1727" i="1"/>
  <c r="O1726" i="1" a="1"/>
  <c r="N1726" i="1"/>
  <c r="M1726" i="1"/>
  <c r="O1725" i="1" a="1"/>
  <c r="N1725" i="1"/>
  <c r="M1725" i="1"/>
  <c r="O1724" i="1" a="1"/>
  <c r="N1724" i="1"/>
  <c r="M1724" i="1"/>
  <c r="O1723" i="1" a="1"/>
  <c r="N1723" i="1"/>
  <c r="M1723" i="1"/>
  <c r="O1722" i="1" a="1"/>
  <c r="N1722" i="1"/>
  <c r="M1722" i="1"/>
  <c r="O1721" i="1" a="1"/>
  <c r="N1721" i="1"/>
  <c r="M1721" i="1"/>
  <c r="O1720" i="1" a="1"/>
  <c r="N1720" i="1"/>
  <c r="M1720" i="1"/>
  <c r="O1719" i="1" a="1"/>
  <c r="N1719" i="1"/>
  <c r="M1719" i="1"/>
  <c r="O1718" i="1" a="1"/>
  <c r="N1718" i="1"/>
  <c r="M1718" i="1"/>
  <c r="O1717" i="1" a="1"/>
  <c r="N1717" i="1"/>
  <c r="M1717" i="1"/>
  <c r="O1716" i="1" a="1"/>
  <c r="N1716" i="1"/>
  <c r="M1716" i="1"/>
  <c r="O1715" i="1" a="1"/>
  <c r="N1715" i="1"/>
  <c r="M1715" i="1"/>
  <c r="O1714" i="1" a="1"/>
  <c r="N1714" i="1"/>
  <c r="M1714" i="1"/>
  <c r="O1713" i="1" a="1"/>
  <c r="N1713" i="1"/>
  <c r="M1713" i="1"/>
  <c r="O1712" i="1" a="1"/>
  <c r="N1712" i="1"/>
  <c r="M1712" i="1"/>
  <c r="O1711" i="1" a="1"/>
  <c r="N1711" i="1"/>
  <c r="M1711" i="1"/>
  <c r="O1710" i="1" a="1"/>
  <c r="N1710" i="1"/>
  <c r="M1710" i="1"/>
  <c r="O1709" i="1" a="1"/>
  <c r="N1709" i="1"/>
  <c r="M1709" i="1"/>
  <c r="O1708" i="1" a="1"/>
  <c r="N1708" i="1"/>
  <c r="M1708" i="1"/>
  <c r="O1707" i="1" a="1"/>
  <c r="N1707" i="1"/>
  <c r="M1707" i="1"/>
  <c r="O1706" i="1" a="1"/>
  <c r="N1706" i="1"/>
  <c r="M1706" i="1"/>
  <c r="O1705" i="1" a="1"/>
  <c r="N1705" i="1"/>
  <c r="M1705" i="1"/>
  <c r="O1704" i="1" a="1"/>
  <c r="N1704" i="1"/>
  <c r="M1704" i="1"/>
  <c r="O1703" i="1" a="1"/>
  <c r="N1703" i="1"/>
  <c r="M1703" i="1"/>
  <c r="O1702" i="1" a="1"/>
  <c r="N1702" i="1"/>
  <c r="M1702" i="1"/>
  <c r="O1701" i="1" a="1"/>
  <c r="N1701" i="1"/>
  <c r="M1701" i="1"/>
  <c r="O1700" i="1" a="1"/>
  <c r="N1700" i="1"/>
  <c r="M1700" i="1"/>
  <c r="O1699" i="1" a="1"/>
  <c r="N1699" i="1"/>
  <c r="M1699" i="1"/>
  <c r="O1698" i="1" a="1"/>
  <c r="N1698" i="1"/>
  <c r="M1698" i="1"/>
  <c r="O1697" i="1" a="1"/>
  <c r="N1697" i="1"/>
  <c r="M1697" i="1"/>
  <c r="O1696" i="1" a="1"/>
  <c r="N1696" i="1"/>
  <c r="M1696" i="1"/>
  <c r="O1695" i="1" a="1"/>
  <c r="N1695" i="1"/>
  <c r="M1695" i="1"/>
  <c r="O1694" i="1" a="1"/>
  <c r="N1694" i="1"/>
  <c r="M1694" i="1"/>
  <c r="O1693" i="1" a="1"/>
  <c r="N1693" i="1"/>
  <c r="M1693" i="1"/>
  <c r="O1692" i="1" a="1"/>
  <c r="N1692" i="1"/>
  <c r="M1692" i="1"/>
  <c r="O1691" i="1" a="1"/>
  <c r="N1691" i="1"/>
  <c r="M1691" i="1"/>
  <c r="O1690" i="1" a="1"/>
  <c r="N1690" i="1"/>
  <c r="M1690" i="1"/>
  <c r="O1689" i="1" a="1"/>
  <c r="N1689" i="1"/>
  <c r="M1689" i="1"/>
  <c r="O1688" i="1" a="1"/>
  <c r="N1688" i="1"/>
  <c r="M1688" i="1"/>
  <c r="O1687" i="1" a="1"/>
  <c r="N1687" i="1"/>
  <c r="M1687" i="1"/>
  <c r="O1686" i="1" a="1"/>
  <c r="N1686" i="1"/>
  <c r="M1686" i="1"/>
  <c r="O1685" i="1" a="1"/>
  <c r="N1685" i="1"/>
  <c r="M1685" i="1"/>
  <c r="O1684" i="1" a="1"/>
  <c r="N1684" i="1"/>
  <c r="M1684" i="1"/>
  <c r="O1683" i="1" a="1"/>
  <c r="N1683" i="1"/>
  <c r="M1683" i="1"/>
  <c r="O1682" i="1" a="1"/>
  <c r="N1682" i="1"/>
  <c r="M1682" i="1"/>
  <c r="O1681" i="1" a="1"/>
  <c r="N1681" i="1"/>
  <c r="M1681" i="1"/>
  <c r="O1680" i="1" a="1"/>
  <c r="N1680" i="1"/>
  <c r="M1680" i="1"/>
  <c r="O1679" i="1" a="1"/>
  <c r="N1679" i="1"/>
  <c r="M1679" i="1"/>
  <c r="O1678" i="1" a="1"/>
  <c r="N1678" i="1"/>
  <c r="M1678" i="1"/>
  <c r="O1677" i="1" a="1"/>
  <c r="N1677" i="1"/>
  <c r="M1677" i="1"/>
  <c r="O1676" i="1" a="1"/>
  <c r="N1676" i="1"/>
  <c r="M1676" i="1"/>
  <c r="O1675" i="1" a="1"/>
  <c r="N1675" i="1"/>
  <c r="M1675" i="1"/>
  <c r="O1674" i="1" a="1"/>
  <c r="N1674" i="1"/>
  <c r="M1674" i="1"/>
  <c r="O1673" i="1" a="1"/>
  <c r="N1673" i="1"/>
  <c r="M1673" i="1"/>
  <c r="O1672" i="1" a="1"/>
  <c r="N1672" i="1"/>
  <c r="M1672" i="1"/>
  <c r="O1671" i="1" a="1"/>
  <c r="N1671" i="1"/>
  <c r="M1671" i="1"/>
  <c r="O1670" i="1" a="1"/>
  <c r="N1670" i="1"/>
  <c r="M1670" i="1"/>
  <c r="O1669" i="1" a="1"/>
  <c r="N1669" i="1"/>
  <c r="M1669" i="1"/>
  <c r="O1668" i="1" a="1"/>
  <c r="N1668" i="1"/>
  <c r="M1668" i="1"/>
  <c r="O1667" i="1" a="1"/>
  <c r="N1667" i="1"/>
  <c r="M1667" i="1"/>
  <c r="O1666" i="1" a="1"/>
  <c r="N1666" i="1"/>
  <c r="M1666" i="1"/>
  <c r="O1665" i="1" a="1"/>
  <c r="N1665" i="1"/>
  <c r="M1665" i="1"/>
  <c r="O1664" i="1" a="1"/>
  <c r="N1664" i="1"/>
  <c r="M1664" i="1"/>
  <c r="O1663" i="1" a="1"/>
  <c r="N1663" i="1"/>
  <c r="M1663" i="1"/>
  <c r="O1662" i="1" a="1"/>
  <c r="N1662" i="1"/>
  <c r="M1662" i="1"/>
  <c r="O1661" i="1" a="1"/>
  <c r="N1661" i="1"/>
  <c r="M1661" i="1"/>
  <c r="O1660" i="1" a="1"/>
  <c r="N1660" i="1"/>
  <c r="M1660" i="1"/>
  <c r="O1659" i="1" a="1"/>
  <c r="N1659" i="1"/>
  <c r="M1659" i="1"/>
  <c r="O1658" i="1" a="1"/>
  <c r="N1658" i="1"/>
  <c r="M1658" i="1"/>
  <c r="O1657" i="1" a="1"/>
  <c r="N1657" i="1"/>
  <c r="M1657" i="1"/>
  <c r="O1656" i="1" a="1"/>
  <c r="N1656" i="1"/>
  <c r="M1656" i="1"/>
  <c r="O1655" i="1" a="1"/>
  <c r="N1655" i="1"/>
  <c r="M1655" i="1"/>
  <c r="O1654" i="1" a="1"/>
  <c r="N1654" i="1"/>
  <c r="M1654" i="1"/>
  <c r="O1653" i="1" a="1"/>
  <c r="N1653" i="1"/>
  <c r="M1653" i="1"/>
  <c r="O1652" i="1" a="1"/>
  <c r="N1652" i="1"/>
  <c r="M1652" i="1"/>
  <c r="O1651" i="1" a="1"/>
  <c r="N1651" i="1"/>
  <c r="M1651" i="1"/>
  <c r="O1650" i="1" a="1"/>
  <c r="N1650" i="1"/>
  <c r="M1650" i="1"/>
  <c r="O1649" i="1" a="1"/>
  <c r="N1649" i="1"/>
  <c r="M1649" i="1"/>
  <c r="O1648" i="1" a="1"/>
  <c r="N1648" i="1"/>
  <c r="M1648" i="1"/>
  <c r="O1647" i="1" a="1"/>
  <c r="N1647" i="1"/>
  <c r="M1647" i="1"/>
  <c r="O1646" i="1" a="1"/>
  <c r="N1646" i="1"/>
  <c r="M1646" i="1"/>
  <c r="O1645" i="1" a="1"/>
  <c r="N1645" i="1"/>
  <c r="M1645" i="1"/>
  <c r="O1644" i="1" a="1"/>
  <c r="N1644" i="1"/>
  <c r="M1644" i="1"/>
  <c r="O1643" i="1" a="1"/>
  <c r="N1643" i="1"/>
  <c r="M1643" i="1"/>
  <c r="O1642" i="1" a="1"/>
  <c r="N1642" i="1"/>
  <c r="M1642" i="1"/>
  <c r="O1641" i="1" a="1"/>
  <c r="N1641" i="1"/>
  <c r="M1641" i="1"/>
  <c r="O1640" i="1" a="1"/>
  <c r="N1640" i="1"/>
  <c r="M1640" i="1"/>
  <c r="O1639" i="1" a="1"/>
  <c r="N1639" i="1"/>
  <c r="M1639" i="1"/>
  <c r="O1638" i="1" a="1"/>
  <c r="N1638" i="1"/>
  <c r="M1638" i="1"/>
  <c r="O1637" i="1" a="1"/>
  <c r="N1637" i="1"/>
  <c r="M1637" i="1"/>
  <c r="O1636" i="1" a="1"/>
  <c r="N1636" i="1"/>
  <c r="M1636" i="1"/>
  <c r="O1635" i="1" a="1"/>
  <c r="N1635" i="1"/>
  <c r="M1635" i="1"/>
  <c r="O1634" i="1" a="1"/>
  <c r="N1634" i="1"/>
  <c r="M1634" i="1"/>
  <c r="O1633" i="1" a="1"/>
  <c r="N1633" i="1"/>
  <c r="M1633" i="1"/>
  <c r="O1632" i="1" a="1"/>
  <c r="N1632" i="1"/>
  <c r="M1632" i="1"/>
  <c r="O1631" i="1" a="1"/>
  <c r="N1631" i="1"/>
  <c r="M1631" i="1"/>
  <c r="O1630" i="1" a="1"/>
  <c r="N1630" i="1"/>
  <c r="M1630" i="1"/>
  <c r="O1629" i="1" a="1"/>
  <c r="N1629" i="1"/>
  <c r="M1629" i="1"/>
  <c r="O1628" i="1" a="1"/>
  <c r="N1628" i="1"/>
  <c r="M1628" i="1"/>
  <c r="O1627" i="1" a="1"/>
  <c r="N1627" i="1"/>
  <c r="M1627" i="1"/>
  <c r="O1626" i="1" a="1"/>
  <c r="N1626" i="1"/>
  <c r="M1626" i="1"/>
  <c r="O1625" i="1" a="1"/>
  <c r="N1625" i="1"/>
  <c r="M1625" i="1"/>
  <c r="O1624" i="1" a="1"/>
  <c r="N1624" i="1"/>
  <c r="M1624" i="1"/>
  <c r="O1623" i="1" a="1"/>
  <c r="N1623" i="1"/>
  <c r="M1623" i="1"/>
  <c r="O1622" i="1" a="1"/>
  <c r="N1622" i="1"/>
  <c r="M1622" i="1"/>
  <c r="O1621" i="1" a="1"/>
  <c r="N1621" i="1"/>
  <c r="M1621" i="1"/>
  <c r="O1620" i="1" a="1"/>
  <c r="N1620" i="1"/>
  <c r="M1620" i="1"/>
  <c r="O1619" i="1" a="1"/>
  <c r="N1619" i="1"/>
  <c r="M1619" i="1"/>
  <c r="O1618" i="1" a="1"/>
  <c r="N1618" i="1"/>
  <c r="M1618" i="1"/>
  <c r="O1617" i="1" a="1"/>
  <c r="N1617" i="1"/>
  <c r="M1617" i="1"/>
  <c r="O1616" i="1" a="1"/>
  <c r="N1616" i="1"/>
  <c r="M1616" i="1"/>
  <c r="O1615" i="1" a="1"/>
  <c r="N1615" i="1"/>
  <c r="M1615" i="1"/>
  <c r="O1614" i="1" a="1"/>
  <c r="N1614" i="1"/>
  <c r="M1614" i="1"/>
  <c r="O1613" i="1" a="1"/>
  <c r="N1613" i="1"/>
  <c r="M1613" i="1"/>
  <c r="O1612" i="1" a="1"/>
  <c r="N1612" i="1"/>
  <c r="M1612" i="1"/>
  <c r="O1611" i="1" a="1"/>
  <c r="N1611" i="1"/>
  <c r="M1611" i="1"/>
  <c r="O1610" i="1" a="1"/>
  <c r="N1610" i="1"/>
  <c r="M1610" i="1"/>
  <c r="O1609" i="1" a="1"/>
  <c r="N1609" i="1"/>
  <c r="M1609" i="1"/>
  <c r="O1608" i="1" a="1"/>
  <c r="N1608" i="1"/>
  <c r="M1608" i="1"/>
  <c r="O1607" i="1" a="1"/>
  <c r="N1607" i="1"/>
  <c r="M1607" i="1"/>
  <c r="O1606" i="1" a="1"/>
  <c r="N1606" i="1"/>
  <c r="M1606" i="1"/>
  <c r="O1605" i="1" a="1"/>
  <c r="N1605" i="1"/>
  <c r="M1605" i="1"/>
  <c r="O1604" i="1" a="1"/>
  <c r="N1604" i="1"/>
  <c r="M1604" i="1"/>
  <c r="O1603" i="1" a="1"/>
  <c r="N1603" i="1"/>
  <c r="M1603" i="1"/>
  <c r="O1602" i="1" a="1"/>
  <c r="N1602" i="1"/>
  <c r="M1602" i="1"/>
  <c r="O1601" i="1" a="1"/>
  <c r="N1601" i="1"/>
  <c r="M1601" i="1"/>
  <c r="O1600" i="1" a="1"/>
  <c r="N1600" i="1"/>
  <c r="M1600" i="1"/>
  <c r="O1599" i="1" a="1"/>
  <c r="N1599" i="1"/>
  <c r="M1599" i="1"/>
  <c r="O1598" i="1" a="1"/>
  <c r="N1598" i="1"/>
  <c r="M1598" i="1"/>
  <c r="O1597" i="1" a="1"/>
  <c r="N1597" i="1"/>
  <c r="M1597" i="1"/>
  <c r="O1596" i="1" a="1"/>
  <c r="N1596" i="1"/>
  <c r="M1596" i="1"/>
  <c r="O1595" i="1" a="1"/>
  <c r="N1595" i="1"/>
  <c r="M1595" i="1"/>
  <c r="O1594" i="1" a="1"/>
  <c r="N1594" i="1"/>
  <c r="M1594" i="1"/>
  <c r="O1593" i="1" a="1"/>
  <c r="N1593" i="1"/>
  <c r="M1593" i="1"/>
  <c r="O1592" i="1" a="1"/>
  <c r="N1592" i="1"/>
  <c r="M1592" i="1"/>
  <c r="O1591" i="1" a="1"/>
  <c r="N1591" i="1"/>
  <c r="M1591" i="1"/>
  <c r="O1590" i="1" a="1"/>
  <c r="N1590" i="1"/>
  <c r="M1590" i="1"/>
  <c r="O1589" i="1" a="1"/>
  <c r="N1589" i="1"/>
  <c r="M1589" i="1"/>
  <c r="O1588" i="1" a="1"/>
  <c r="N1588" i="1"/>
  <c r="M1588" i="1"/>
  <c r="O1587" i="1" a="1"/>
  <c r="N1587" i="1"/>
  <c r="M1587" i="1"/>
  <c r="O1586" i="1" a="1"/>
  <c r="N1586" i="1"/>
  <c r="M1586" i="1"/>
  <c r="O1585" i="1" a="1"/>
  <c r="N1585" i="1"/>
  <c r="M1585" i="1"/>
  <c r="O1584" i="1" a="1"/>
  <c r="N1584" i="1"/>
  <c r="M1584" i="1"/>
  <c r="O1583" i="1" a="1"/>
  <c r="N1583" i="1"/>
  <c r="M1583" i="1"/>
  <c r="O1582" i="1" a="1"/>
  <c r="N1582" i="1"/>
  <c r="M1582" i="1"/>
  <c r="O1581" i="1" a="1"/>
  <c r="N1581" i="1"/>
  <c r="M1581" i="1"/>
  <c r="O1580" i="1" a="1"/>
  <c r="N1580" i="1"/>
  <c r="M1580" i="1"/>
  <c r="O1579" i="1" a="1"/>
  <c r="N1579" i="1"/>
  <c r="M1579" i="1"/>
  <c r="O1578" i="1" a="1"/>
  <c r="N1578" i="1"/>
  <c r="M1578" i="1"/>
  <c r="O1577" i="1" a="1"/>
  <c r="N1577" i="1"/>
  <c r="M1577" i="1"/>
  <c r="O1576" i="1" a="1"/>
  <c r="N1576" i="1"/>
  <c r="M1576" i="1"/>
  <c r="O1575" i="1" a="1"/>
  <c r="N1575" i="1"/>
  <c r="M1575" i="1"/>
  <c r="O1574" i="1" a="1"/>
  <c r="N1574" i="1"/>
  <c r="M1574" i="1"/>
  <c r="O1573" i="1" a="1"/>
  <c r="N1573" i="1"/>
  <c r="M1573" i="1"/>
  <c r="O1572" i="1" a="1"/>
  <c r="N1572" i="1"/>
  <c r="M1572" i="1"/>
  <c r="O1571" i="1" a="1"/>
  <c r="N1571" i="1"/>
  <c r="M1571" i="1"/>
  <c r="O1570" i="1" a="1"/>
  <c r="N1570" i="1"/>
  <c r="M1570" i="1"/>
  <c r="O1569" i="1" a="1"/>
  <c r="N1569" i="1"/>
  <c r="M1569" i="1"/>
  <c r="O1568" i="1" a="1"/>
  <c r="N1568" i="1"/>
  <c r="M1568" i="1"/>
  <c r="O1567" i="1" a="1"/>
  <c r="N1567" i="1"/>
  <c r="M1567" i="1"/>
  <c r="O1566" i="1" a="1"/>
  <c r="N1566" i="1"/>
  <c r="M1566" i="1"/>
  <c r="O1565" i="1" a="1"/>
  <c r="N1565" i="1"/>
  <c r="M1565" i="1"/>
  <c r="O1564" i="1" a="1"/>
  <c r="N1564" i="1"/>
  <c r="M1564" i="1"/>
  <c r="O1563" i="1" a="1"/>
  <c r="N1563" i="1"/>
  <c r="M1563" i="1"/>
  <c r="O1562" i="1" a="1"/>
  <c r="N1562" i="1"/>
  <c r="M1562" i="1"/>
  <c r="O1561" i="1" a="1"/>
  <c r="N1561" i="1"/>
  <c r="M1561" i="1"/>
  <c r="O1560" i="1" a="1"/>
  <c r="N1560" i="1"/>
  <c r="M1560" i="1"/>
  <c r="O1559" i="1" a="1"/>
  <c r="N1559" i="1"/>
  <c r="M1559" i="1"/>
  <c r="O1558" i="1" a="1"/>
  <c r="N1558" i="1"/>
  <c r="M1558" i="1"/>
  <c r="O1557" i="1" a="1"/>
  <c r="N1557" i="1"/>
  <c r="M1557" i="1"/>
  <c r="O1556" i="1" a="1"/>
  <c r="N1556" i="1"/>
  <c r="M1556" i="1"/>
  <c r="O1555" i="1" a="1"/>
  <c r="N1555" i="1"/>
  <c r="M1555" i="1"/>
  <c r="O1554" i="1" a="1"/>
  <c r="N1554" i="1"/>
  <c r="M1554" i="1"/>
  <c r="O1553" i="1" a="1"/>
  <c r="N1553" i="1"/>
  <c r="M1553" i="1"/>
  <c r="O1552" i="1" a="1"/>
  <c r="N1552" i="1"/>
  <c r="M1552" i="1"/>
  <c r="O1551" i="1" a="1"/>
  <c r="N1551" i="1"/>
  <c r="M1551" i="1"/>
  <c r="O1550" i="1" a="1"/>
  <c r="N1550" i="1"/>
  <c r="M1550" i="1"/>
  <c r="O1549" i="1" a="1"/>
  <c r="N1549" i="1"/>
  <c r="M1549" i="1"/>
  <c r="O1548" i="1" a="1"/>
  <c r="N1548" i="1"/>
  <c r="M1548" i="1"/>
  <c r="O1547" i="1" a="1"/>
  <c r="N1547" i="1"/>
  <c r="M1547" i="1"/>
  <c r="O1546" i="1" a="1"/>
  <c r="N1546" i="1"/>
  <c r="M1546" i="1"/>
  <c r="O1545" i="1" a="1"/>
  <c r="N1545" i="1"/>
  <c r="M1545" i="1"/>
  <c r="O1544" i="1" a="1"/>
  <c r="N1544" i="1"/>
  <c r="M1544" i="1"/>
  <c r="O1543" i="1" a="1"/>
  <c r="N1543" i="1"/>
  <c r="M1543" i="1"/>
  <c r="O1542" i="1" a="1"/>
  <c r="N1542" i="1"/>
  <c r="M1542" i="1"/>
  <c r="O1541" i="1" a="1"/>
  <c r="N1541" i="1"/>
  <c r="M1541" i="1"/>
  <c r="O1540" i="1" a="1"/>
  <c r="N1540" i="1"/>
  <c r="M1540" i="1"/>
  <c r="O1539" i="1" a="1"/>
  <c r="N1539" i="1"/>
  <c r="M1539" i="1"/>
  <c r="O1538" i="1" a="1"/>
  <c r="N1538" i="1"/>
  <c r="M1538" i="1"/>
  <c r="O1537" i="1" a="1"/>
  <c r="N1537" i="1"/>
  <c r="M1537" i="1"/>
  <c r="O1536" i="1" a="1"/>
  <c r="N1536" i="1"/>
  <c r="M1536" i="1"/>
  <c r="O1535" i="1" a="1"/>
  <c r="N1535" i="1"/>
  <c r="M1535" i="1"/>
  <c r="O1534" i="1" a="1"/>
  <c r="N1534" i="1"/>
  <c r="M1534" i="1"/>
  <c r="O1533" i="1" a="1"/>
  <c r="N1533" i="1"/>
  <c r="M1533" i="1"/>
  <c r="O1532" i="1" a="1"/>
  <c r="N1532" i="1"/>
  <c r="M1532" i="1"/>
  <c r="O1531" i="1" a="1"/>
  <c r="N1531" i="1"/>
  <c r="M1531" i="1"/>
  <c r="O1530" i="1" a="1"/>
  <c r="N1530" i="1"/>
  <c r="M1530" i="1"/>
  <c r="O1529" i="1" a="1"/>
  <c r="N1529" i="1"/>
  <c r="M1529" i="1"/>
  <c r="O1528" i="1" a="1"/>
  <c r="N1528" i="1"/>
  <c r="M1528" i="1"/>
  <c r="O1527" i="1" a="1"/>
  <c r="N1527" i="1"/>
  <c r="M1527" i="1"/>
  <c r="O1526" i="1" a="1"/>
  <c r="N1526" i="1"/>
  <c r="M1526" i="1"/>
  <c r="O1525" i="1" a="1"/>
  <c r="N1525" i="1"/>
  <c r="M1525" i="1"/>
  <c r="O1524" i="1" a="1"/>
  <c r="N1524" i="1"/>
  <c r="M1524" i="1"/>
  <c r="O1523" i="1" a="1"/>
  <c r="N1523" i="1"/>
  <c r="M1523" i="1"/>
  <c r="O1522" i="1" a="1"/>
  <c r="N1522" i="1"/>
  <c r="M1522" i="1"/>
  <c r="O1521" i="1" a="1"/>
  <c r="N1521" i="1"/>
  <c r="M1521" i="1"/>
  <c r="O1520" i="1" a="1"/>
  <c r="N1520" i="1"/>
  <c r="M1520" i="1"/>
  <c r="O1519" i="1" a="1"/>
  <c r="N1519" i="1"/>
  <c r="M1519" i="1"/>
  <c r="O1518" i="1" a="1"/>
  <c r="N1518" i="1"/>
  <c r="M1518" i="1"/>
  <c r="O1517" i="1" a="1"/>
  <c r="N1517" i="1"/>
  <c r="M1517" i="1"/>
  <c r="O1516" i="1" a="1"/>
  <c r="N1516" i="1"/>
  <c r="M1516" i="1"/>
  <c r="O1515" i="1" a="1"/>
  <c r="N1515" i="1"/>
  <c r="M1515" i="1"/>
  <c r="O1514" i="1" a="1"/>
  <c r="N1514" i="1"/>
  <c r="M1514" i="1"/>
  <c r="O1513" i="1" a="1"/>
  <c r="N1513" i="1"/>
  <c r="M1513" i="1"/>
  <c r="O1512" i="1" a="1"/>
  <c r="N1512" i="1"/>
  <c r="M1512" i="1"/>
  <c r="O1511" i="1" a="1"/>
  <c r="N1511" i="1"/>
  <c r="M1511" i="1"/>
  <c r="O1510" i="1" a="1"/>
  <c r="N1510" i="1"/>
  <c r="M1510" i="1"/>
  <c r="O1509" i="1" a="1"/>
  <c r="N1509" i="1"/>
  <c r="M1509" i="1"/>
  <c r="O1508" i="1" a="1"/>
  <c r="N1508" i="1"/>
  <c r="M1508" i="1"/>
  <c r="O1507" i="1" a="1"/>
  <c r="N1507" i="1"/>
  <c r="M1507" i="1"/>
  <c r="O1506" i="1" a="1"/>
  <c r="N1506" i="1"/>
  <c r="M1506" i="1"/>
  <c r="O1505" i="1" a="1"/>
  <c r="N1505" i="1"/>
  <c r="M1505" i="1"/>
  <c r="O1504" i="1" a="1"/>
  <c r="N1504" i="1"/>
  <c r="M1504" i="1"/>
  <c r="O1503" i="1" a="1"/>
  <c r="N1503" i="1"/>
  <c r="M1503" i="1"/>
  <c r="O1502" i="1" a="1"/>
  <c r="N1502" i="1"/>
  <c r="M1502" i="1"/>
  <c r="O1501" i="1" a="1"/>
  <c r="N1501" i="1"/>
  <c r="M1501" i="1"/>
  <c r="O1500" i="1" a="1"/>
  <c r="N1500" i="1"/>
  <c r="M1500" i="1"/>
  <c r="O1499" i="1" a="1"/>
  <c r="N1499" i="1"/>
  <c r="M1499" i="1"/>
  <c r="O1498" i="1" a="1"/>
  <c r="N1498" i="1"/>
  <c r="M1498" i="1"/>
  <c r="O1497" i="1" a="1"/>
  <c r="N1497" i="1"/>
  <c r="M1497" i="1"/>
  <c r="O1496" i="1" a="1"/>
  <c r="N1496" i="1"/>
  <c r="M1496" i="1"/>
  <c r="O1495" i="1" a="1"/>
  <c r="N1495" i="1"/>
  <c r="M1495" i="1"/>
  <c r="O1494" i="1" a="1"/>
  <c r="N1494" i="1"/>
  <c r="M1494" i="1"/>
  <c r="O1493" i="1" a="1"/>
  <c r="N1493" i="1"/>
  <c r="M1493" i="1"/>
  <c r="O1492" i="1" a="1"/>
  <c r="N1492" i="1"/>
  <c r="M1492" i="1"/>
  <c r="O1491" i="1" a="1"/>
  <c r="N1491" i="1"/>
  <c r="M1491" i="1"/>
  <c r="O1490" i="1" a="1"/>
  <c r="N1490" i="1"/>
  <c r="M1490" i="1"/>
  <c r="O1489" i="1" a="1"/>
  <c r="N1489" i="1"/>
  <c r="M1489" i="1"/>
  <c r="O1488" i="1" a="1"/>
  <c r="N1488" i="1"/>
  <c r="M1488" i="1"/>
  <c r="O1487" i="1" a="1"/>
  <c r="N1487" i="1"/>
  <c r="M1487" i="1"/>
  <c r="O1486" i="1" a="1"/>
  <c r="N1486" i="1"/>
  <c r="M1486" i="1"/>
  <c r="O1485" i="1" a="1"/>
  <c r="N1485" i="1"/>
  <c r="M1485" i="1"/>
  <c r="O1484" i="1" a="1"/>
  <c r="N1484" i="1"/>
  <c r="M1484" i="1"/>
  <c r="O1483" i="1" a="1"/>
  <c r="N1483" i="1"/>
  <c r="M1483" i="1"/>
  <c r="O1482" i="1" a="1"/>
  <c r="N1482" i="1"/>
  <c r="M1482" i="1"/>
  <c r="O1481" i="1" a="1"/>
  <c r="N1481" i="1"/>
  <c r="M1481" i="1"/>
  <c r="O1480" i="1" a="1"/>
  <c r="N1480" i="1"/>
  <c r="M1480" i="1"/>
  <c r="O1479" i="1" a="1"/>
  <c r="N1479" i="1"/>
  <c r="M1479" i="1"/>
  <c r="O1478" i="1" a="1"/>
  <c r="N1478" i="1"/>
  <c r="M1478" i="1"/>
  <c r="O1477" i="1" a="1"/>
  <c r="N1477" i="1"/>
  <c r="M1477" i="1"/>
  <c r="O1476" i="1" a="1"/>
  <c r="N1476" i="1"/>
  <c r="M1476" i="1"/>
  <c r="O1475" i="1" a="1"/>
  <c r="N1475" i="1"/>
  <c r="M1475" i="1"/>
  <c r="O1474" i="1" a="1"/>
  <c r="N1474" i="1"/>
  <c r="M1474" i="1"/>
  <c r="O1473" i="1" a="1"/>
  <c r="N1473" i="1"/>
  <c r="M1473" i="1"/>
  <c r="O1472" i="1" a="1"/>
  <c r="N1472" i="1"/>
  <c r="M1472" i="1"/>
  <c r="O1471" i="1" a="1"/>
  <c r="N1471" i="1"/>
  <c r="M1471" i="1"/>
  <c r="O1470" i="1" a="1"/>
  <c r="N1470" i="1"/>
  <c r="M1470" i="1"/>
  <c r="O1469" i="1" a="1"/>
  <c r="N1469" i="1"/>
  <c r="M1469" i="1"/>
  <c r="O1468" i="1" a="1"/>
  <c r="N1468" i="1"/>
  <c r="M1468" i="1"/>
  <c r="O1467" i="1" a="1"/>
  <c r="N1467" i="1"/>
  <c r="M1467" i="1"/>
  <c r="O1466" i="1" a="1"/>
  <c r="N1466" i="1"/>
  <c r="M1466" i="1"/>
  <c r="O1465" i="1" a="1"/>
  <c r="N1465" i="1"/>
  <c r="M1465" i="1"/>
  <c r="O1464" i="1" a="1"/>
  <c r="N1464" i="1"/>
  <c r="M1464" i="1"/>
  <c r="O1463" i="1" a="1"/>
  <c r="N1463" i="1"/>
  <c r="M1463" i="1"/>
  <c r="O1462" i="1" a="1"/>
  <c r="N1462" i="1"/>
  <c r="M1462" i="1"/>
  <c r="O1461" i="1" a="1"/>
  <c r="N1461" i="1"/>
  <c r="M1461" i="1"/>
  <c r="O1460" i="1" a="1"/>
  <c r="N1460" i="1"/>
  <c r="M1460" i="1"/>
  <c r="O1459" i="1" a="1"/>
  <c r="N1459" i="1"/>
  <c r="M1459" i="1"/>
  <c r="O1458" i="1" a="1"/>
  <c r="N1458" i="1"/>
  <c r="M1458" i="1"/>
  <c r="O1457" i="1" a="1"/>
  <c r="N1457" i="1"/>
  <c r="M1457" i="1"/>
  <c r="O1456" i="1" a="1"/>
  <c r="N1456" i="1"/>
  <c r="M1456" i="1"/>
  <c r="O1455" i="1" a="1"/>
  <c r="N1455" i="1"/>
  <c r="M1455" i="1"/>
  <c r="O1454" i="1" a="1"/>
  <c r="N1454" i="1"/>
  <c r="M1454" i="1"/>
  <c r="O1453" i="1" a="1"/>
  <c r="N1453" i="1"/>
  <c r="M1453" i="1"/>
  <c r="O1452" i="1" a="1"/>
  <c r="N1452" i="1"/>
  <c r="M1452" i="1"/>
  <c r="O1451" i="1" a="1"/>
  <c r="N1451" i="1"/>
  <c r="M1451" i="1"/>
  <c r="O1450" i="1" a="1"/>
  <c r="N1450" i="1"/>
  <c r="M1450" i="1"/>
  <c r="O1449" i="1" a="1"/>
  <c r="N1449" i="1"/>
  <c r="M1449" i="1"/>
  <c r="O1448" i="1" a="1"/>
  <c r="N1448" i="1"/>
  <c r="M1448" i="1"/>
  <c r="O1447" i="1" a="1"/>
  <c r="N1447" i="1"/>
  <c r="M1447" i="1"/>
  <c r="O1446" i="1" a="1"/>
  <c r="N1446" i="1"/>
  <c r="M1446" i="1"/>
  <c r="O1445" i="1" a="1"/>
  <c r="N1445" i="1"/>
  <c r="M1445" i="1"/>
  <c r="O1444" i="1" a="1"/>
  <c r="N1444" i="1"/>
  <c r="M1444" i="1"/>
  <c r="O1443" i="1" a="1"/>
  <c r="N1443" i="1"/>
  <c r="M1443" i="1"/>
  <c r="O1442" i="1" a="1"/>
  <c r="N1442" i="1"/>
  <c r="M1442" i="1"/>
  <c r="O1441" i="1" a="1"/>
  <c r="N1441" i="1"/>
  <c r="M1441" i="1"/>
  <c r="O1440" i="1" a="1"/>
  <c r="N1440" i="1"/>
  <c r="M1440" i="1"/>
  <c r="O1439" i="1" a="1"/>
  <c r="N1439" i="1"/>
  <c r="M1439" i="1"/>
  <c r="O1438" i="1" a="1"/>
  <c r="N1438" i="1"/>
  <c r="M1438" i="1"/>
  <c r="O1437" i="1" a="1"/>
  <c r="N1437" i="1"/>
  <c r="M1437" i="1"/>
  <c r="O1436" i="1" a="1"/>
  <c r="N1436" i="1"/>
  <c r="M1436" i="1"/>
  <c r="O1435" i="1" a="1"/>
  <c r="N1435" i="1"/>
  <c r="M1435" i="1"/>
  <c r="O1434" i="1" a="1"/>
  <c r="N1434" i="1"/>
  <c r="M1434" i="1"/>
  <c r="O1433" i="1" a="1"/>
  <c r="N1433" i="1"/>
  <c r="M1433" i="1"/>
  <c r="O1432" i="1" a="1"/>
  <c r="N1432" i="1"/>
  <c r="M1432" i="1"/>
  <c r="O1431" i="1" a="1"/>
  <c r="N1431" i="1"/>
  <c r="M1431" i="1"/>
  <c r="O1430" i="1" a="1"/>
  <c r="N1430" i="1"/>
  <c r="M1430" i="1"/>
  <c r="O1429" i="1" a="1"/>
  <c r="N1429" i="1"/>
  <c r="M1429" i="1"/>
  <c r="O1428" i="1" a="1"/>
  <c r="N1428" i="1"/>
  <c r="M1428" i="1"/>
  <c r="O1427" i="1" a="1"/>
  <c r="N1427" i="1"/>
  <c r="M1427" i="1"/>
  <c r="O1426" i="1" a="1"/>
  <c r="N1426" i="1"/>
  <c r="M1426" i="1"/>
  <c r="O1425" i="1" a="1"/>
  <c r="N1425" i="1"/>
  <c r="M1425" i="1"/>
  <c r="O1424" i="1" a="1"/>
  <c r="N1424" i="1"/>
  <c r="M1424" i="1"/>
  <c r="O1423" i="1" a="1"/>
  <c r="N1423" i="1"/>
  <c r="M1423" i="1"/>
  <c r="O1422" i="1" a="1"/>
  <c r="N1422" i="1"/>
  <c r="M1422" i="1"/>
  <c r="O1421" i="1" a="1"/>
  <c r="N1421" i="1"/>
  <c r="M1421" i="1"/>
  <c r="O1420" i="1" a="1"/>
  <c r="N1420" i="1"/>
  <c r="M1420" i="1"/>
  <c r="O1419" i="1" a="1"/>
  <c r="N1419" i="1"/>
  <c r="M1419" i="1"/>
  <c r="O1418" i="1" a="1"/>
  <c r="N1418" i="1"/>
  <c r="M1418" i="1"/>
  <c r="O1417" i="1" a="1"/>
  <c r="N1417" i="1"/>
  <c r="M1417" i="1"/>
  <c r="O1416" i="1" a="1"/>
  <c r="N1416" i="1"/>
  <c r="M1416" i="1"/>
  <c r="O1415" i="1" a="1"/>
  <c r="N1415" i="1"/>
  <c r="M1415" i="1"/>
  <c r="O1414" i="1" a="1"/>
  <c r="N1414" i="1"/>
  <c r="M1414" i="1"/>
  <c r="O1413" i="1" a="1"/>
  <c r="N1413" i="1"/>
  <c r="M1413" i="1"/>
  <c r="O1412" i="1" a="1"/>
  <c r="N1412" i="1"/>
  <c r="M1412" i="1"/>
  <c r="O1411" i="1" a="1"/>
  <c r="N1411" i="1"/>
  <c r="M1411" i="1"/>
  <c r="O1410" i="1" a="1"/>
  <c r="N1410" i="1"/>
  <c r="M1410" i="1"/>
  <c r="O1409" i="1" a="1"/>
  <c r="N1409" i="1"/>
  <c r="M1409" i="1"/>
  <c r="O1408" i="1" a="1"/>
  <c r="N1408" i="1"/>
  <c r="M1408" i="1"/>
  <c r="O1407" i="1" a="1"/>
  <c r="N1407" i="1"/>
  <c r="M1407" i="1"/>
  <c r="O1406" i="1" a="1"/>
  <c r="N1406" i="1"/>
  <c r="M1406" i="1"/>
  <c r="O1405" i="1" a="1"/>
  <c r="N1405" i="1"/>
  <c r="M1405" i="1"/>
  <c r="O1404" i="1" a="1"/>
  <c r="N1404" i="1"/>
  <c r="M1404" i="1"/>
  <c r="O1403" i="1" a="1"/>
  <c r="N1403" i="1"/>
  <c r="M1403" i="1"/>
  <c r="O1402" i="1" a="1"/>
  <c r="N1402" i="1"/>
  <c r="M1402" i="1"/>
  <c r="O1401" i="1" a="1"/>
  <c r="N1401" i="1"/>
  <c r="M1401" i="1"/>
  <c r="O1400" i="1" a="1"/>
  <c r="N1400" i="1"/>
  <c r="M1400" i="1"/>
  <c r="O1399" i="1" a="1"/>
  <c r="N1399" i="1"/>
  <c r="M1399" i="1"/>
  <c r="O1398" i="1" a="1"/>
  <c r="N1398" i="1"/>
  <c r="M1398" i="1"/>
  <c r="O1397" i="1" a="1"/>
  <c r="N1397" i="1"/>
  <c r="M1397" i="1"/>
  <c r="O1396" i="1" a="1"/>
  <c r="N1396" i="1"/>
  <c r="M1396" i="1"/>
  <c r="O1395" i="1" a="1"/>
  <c r="N1395" i="1"/>
  <c r="M1395" i="1"/>
  <c r="O1394" i="1" a="1"/>
  <c r="N1394" i="1"/>
  <c r="M1394" i="1"/>
  <c r="O1393" i="1" a="1"/>
  <c r="N1393" i="1"/>
  <c r="M1393" i="1"/>
  <c r="O1392" i="1" a="1"/>
  <c r="N1392" i="1"/>
  <c r="M1392" i="1"/>
  <c r="O1391" i="1" a="1"/>
  <c r="N1391" i="1"/>
  <c r="M1391" i="1"/>
  <c r="O1390" i="1" a="1"/>
  <c r="N1390" i="1"/>
  <c r="M1390" i="1"/>
  <c r="O1389" i="1" a="1"/>
  <c r="N1389" i="1"/>
  <c r="M1389" i="1"/>
  <c r="O1388" i="1" a="1"/>
  <c r="N1388" i="1"/>
  <c r="M1388" i="1"/>
  <c r="O1387" i="1" a="1"/>
  <c r="N1387" i="1"/>
  <c r="M1387" i="1"/>
  <c r="O1386" i="1" a="1"/>
  <c r="N1386" i="1"/>
  <c r="M1386" i="1"/>
  <c r="O1385" i="1" a="1"/>
  <c r="N1385" i="1"/>
  <c r="M1385" i="1"/>
  <c r="O1384" i="1" a="1"/>
  <c r="N1384" i="1"/>
  <c r="M1384" i="1"/>
  <c r="O1383" i="1" a="1"/>
  <c r="N1383" i="1"/>
  <c r="M1383" i="1"/>
  <c r="O1382" i="1" a="1"/>
  <c r="N1382" i="1"/>
  <c r="M1382" i="1"/>
  <c r="O1381" i="1" a="1"/>
  <c r="N1381" i="1"/>
  <c r="M1381" i="1"/>
  <c r="O1380" i="1" a="1"/>
  <c r="N1380" i="1"/>
  <c r="M1380" i="1"/>
  <c r="O1379" i="1" a="1"/>
  <c r="N1379" i="1"/>
  <c r="M1379" i="1"/>
  <c r="O1378" i="1" a="1"/>
  <c r="N1378" i="1"/>
  <c r="M1378" i="1"/>
  <c r="O1377" i="1" a="1"/>
  <c r="N1377" i="1"/>
  <c r="M1377" i="1"/>
  <c r="O1376" i="1" a="1"/>
  <c r="N1376" i="1"/>
  <c r="M1376" i="1"/>
  <c r="O1375" i="1" a="1"/>
  <c r="N1375" i="1"/>
  <c r="M1375" i="1"/>
  <c r="O1374" i="1" a="1"/>
  <c r="N1374" i="1"/>
  <c r="M1374" i="1"/>
  <c r="O1373" i="1" a="1"/>
  <c r="N1373" i="1"/>
  <c r="M1373" i="1"/>
  <c r="O1372" i="1" a="1"/>
  <c r="N1372" i="1"/>
  <c r="M1372" i="1"/>
  <c r="O1371" i="1" a="1"/>
  <c r="N1371" i="1"/>
  <c r="M1371" i="1"/>
  <c r="O1370" i="1" a="1"/>
  <c r="N1370" i="1"/>
  <c r="M1370" i="1"/>
  <c r="O1369" i="1" a="1"/>
  <c r="N1369" i="1"/>
  <c r="M1369" i="1"/>
  <c r="O1368" i="1" a="1"/>
  <c r="N1368" i="1"/>
  <c r="M1368" i="1"/>
  <c r="O1367" i="1" a="1"/>
  <c r="N1367" i="1"/>
  <c r="M1367" i="1"/>
  <c r="O1366" i="1" a="1"/>
  <c r="N1366" i="1"/>
  <c r="M1366" i="1"/>
  <c r="O1365" i="1" a="1"/>
  <c r="N1365" i="1"/>
  <c r="M1365" i="1"/>
  <c r="O1364" i="1" a="1"/>
  <c r="N1364" i="1"/>
  <c r="M1364" i="1"/>
  <c r="O1363" i="1" a="1"/>
  <c r="N1363" i="1"/>
  <c r="M1363" i="1"/>
  <c r="O1362" i="1" a="1"/>
  <c r="N1362" i="1"/>
  <c r="M1362" i="1"/>
  <c r="O1361" i="1" a="1"/>
  <c r="N1361" i="1"/>
  <c r="M1361" i="1"/>
  <c r="O1360" i="1" a="1"/>
  <c r="N1360" i="1"/>
  <c r="M1360" i="1"/>
  <c r="O1359" i="1" a="1"/>
  <c r="N1359" i="1"/>
  <c r="M1359" i="1"/>
  <c r="O1358" i="1" a="1"/>
  <c r="N1358" i="1"/>
  <c r="M1358" i="1"/>
  <c r="O1357" i="1" a="1"/>
  <c r="N1357" i="1"/>
  <c r="M1357" i="1"/>
  <c r="O1356" i="1" a="1"/>
  <c r="N1356" i="1"/>
  <c r="M1356" i="1"/>
  <c r="O1355" i="1" a="1"/>
  <c r="N1355" i="1"/>
  <c r="M1355" i="1"/>
  <c r="O1354" i="1" a="1"/>
  <c r="N1354" i="1"/>
  <c r="M1354" i="1"/>
  <c r="O1353" i="1" a="1"/>
  <c r="N1353" i="1"/>
  <c r="M1353" i="1"/>
  <c r="O1352" i="1" a="1"/>
  <c r="N1352" i="1"/>
  <c r="M1352" i="1"/>
  <c r="O1351" i="1" a="1"/>
  <c r="N1351" i="1"/>
  <c r="M1351" i="1"/>
  <c r="O1350" i="1" a="1"/>
  <c r="N1350" i="1"/>
  <c r="M1350" i="1"/>
  <c r="O1349" i="1" a="1"/>
  <c r="N1349" i="1"/>
  <c r="M1349" i="1"/>
  <c r="O1348" i="1" a="1"/>
  <c r="N1348" i="1"/>
  <c r="M1348" i="1"/>
  <c r="O1347" i="1" a="1"/>
  <c r="N1347" i="1"/>
  <c r="M1347" i="1"/>
  <c r="O1346" i="1" a="1"/>
  <c r="N1346" i="1"/>
  <c r="M1346" i="1"/>
  <c r="O1345" i="1" a="1"/>
  <c r="N1345" i="1"/>
  <c r="M1345" i="1"/>
  <c r="O1344" i="1" a="1"/>
  <c r="N1344" i="1"/>
  <c r="M1344" i="1"/>
  <c r="O1343" i="1" a="1"/>
  <c r="N1343" i="1"/>
  <c r="M1343" i="1"/>
  <c r="O1342" i="1" a="1"/>
  <c r="N1342" i="1"/>
  <c r="M1342" i="1"/>
  <c r="O1341" i="1" a="1"/>
  <c r="N1341" i="1"/>
  <c r="M1341" i="1"/>
  <c r="O1340" i="1" a="1"/>
  <c r="N1340" i="1"/>
  <c r="M1340" i="1"/>
  <c r="O1339" i="1" a="1"/>
  <c r="N1339" i="1"/>
  <c r="M1339" i="1"/>
  <c r="O1338" i="1" a="1"/>
  <c r="N1338" i="1"/>
  <c r="M1338" i="1"/>
  <c r="O1337" i="1" a="1"/>
  <c r="N1337" i="1"/>
  <c r="M1337" i="1"/>
  <c r="O1336" i="1" a="1"/>
  <c r="N1336" i="1"/>
  <c r="M1336" i="1"/>
  <c r="O1335" i="1" a="1"/>
  <c r="N1335" i="1"/>
  <c r="M1335" i="1"/>
  <c r="O1334" i="1" a="1"/>
  <c r="N1334" i="1"/>
  <c r="M1334" i="1"/>
  <c r="O1333" i="1" a="1"/>
  <c r="N1333" i="1"/>
  <c r="M1333" i="1"/>
  <c r="O1332" i="1" a="1"/>
  <c r="N1332" i="1"/>
  <c r="M1332" i="1"/>
  <c r="O1331" i="1" a="1"/>
  <c r="N1331" i="1"/>
  <c r="M1331" i="1"/>
  <c r="O1330" i="1" a="1"/>
  <c r="N1330" i="1"/>
  <c r="M1330" i="1"/>
  <c r="O1329" i="1" a="1"/>
  <c r="N1329" i="1"/>
  <c r="M1329" i="1"/>
  <c r="O1328" i="1" a="1"/>
  <c r="N1328" i="1"/>
  <c r="M1328" i="1"/>
  <c r="O1327" i="1" a="1"/>
  <c r="N1327" i="1"/>
  <c r="M1327" i="1"/>
  <c r="O1326" i="1" a="1"/>
  <c r="N1326" i="1"/>
  <c r="M1326" i="1"/>
  <c r="O1325" i="1" a="1"/>
  <c r="N1325" i="1"/>
  <c r="M1325" i="1"/>
  <c r="O1324" i="1" a="1"/>
  <c r="N1324" i="1"/>
  <c r="M1324" i="1"/>
  <c r="O1323" i="1" a="1"/>
  <c r="N1323" i="1"/>
  <c r="M1323" i="1"/>
  <c r="O1322" i="1" a="1"/>
  <c r="N1322" i="1"/>
  <c r="M1322" i="1"/>
  <c r="O1321" i="1" a="1"/>
  <c r="N1321" i="1"/>
  <c r="M1321" i="1"/>
  <c r="O1320" i="1" a="1"/>
  <c r="N1320" i="1"/>
  <c r="M1320" i="1"/>
  <c r="O1319" i="1" a="1"/>
  <c r="N1319" i="1"/>
  <c r="M1319" i="1"/>
  <c r="O1318" i="1" a="1"/>
  <c r="N1318" i="1"/>
  <c r="M1318" i="1"/>
  <c r="O1317" i="1" a="1"/>
  <c r="N1317" i="1"/>
  <c r="M1317" i="1"/>
  <c r="O1316" i="1" a="1"/>
  <c r="N1316" i="1"/>
  <c r="M1316" i="1"/>
  <c r="O1315" i="1" a="1"/>
  <c r="N1315" i="1"/>
  <c r="M1315" i="1"/>
  <c r="O1314" i="1" a="1"/>
  <c r="N1314" i="1"/>
  <c r="M1314" i="1"/>
  <c r="O1313" i="1" a="1"/>
  <c r="N1313" i="1"/>
  <c r="M1313" i="1"/>
  <c r="O1312" i="1" a="1"/>
  <c r="N1312" i="1"/>
  <c r="M1312" i="1"/>
  <c r="O1311" i="1" a="1"/>
  <c r="N1311" i="1"/>
  <c r="M1311" i="1"/>
  <c r="O1310" i="1" a="1"/>
  <c r="N1310" i="1"/>
  <c r="M1310" i="1"/>
  <c r="O1309" i="1" a="1"/>
  <c r="N1309" i="1"/>
  <c r="M1309" i="1"/>
  <c r="O1308" i="1" a="1"/>
  <c r="N1308" i="1"/>
  <c r="M1308" i="1"/>
  <c r="O1307" i="1" a="1"/>
  <c r="N1307" i="1"/>
  <c r="M1307" i="1"/>
  <c r="O1306" i="1" a="1"/>
  <c r="N1306" i="1"/>
  <c r="M1306" i="1"/>
  <c r="O1305" i="1" a="1"/>
  <c r="N1305" i="1"/>
  <c r="M1305" i="1"/>
  <c r="O1304" i="1" a="1"/>
  <c r="N1304" i="1"/>
  <c r="M1304" i="1"/>
  <c r="O1303" i="1" a="1"/>
  <c r="N1303" i="1"/>
  <c r="M1303" i="1"/>
  <c r="O1302" i="1" a="1"/>
  <c r="N1302" i="1"/>
  <c r="M1302" i="1"/>
  <c r="O1301" i="1" a="1"/>
  <c r="N1301" i="1"/>
  <c r="M1301" i="1"/>
  <c r="O1300" i="1" a="1"/>
  <c r="N1300" i="1"/>
  <c r="M1300" i="1"/>
  <c r="O1299" i="1" a="1"/>
  <c r="N1299" i="1"/>
  <c r="M1299" i="1"/>
  <c r="O1298" i="1" a="1"/>
  <c r="N1298" i="1"/>
  <c r="M1298" i="1"/>
  <c r="O1297" i="1" a="1"/>
  <c r="N1297" i="1"/>
  <c r="M1297" i="1"/>
  <c r="O1296" i="1" a="1"/>
  <c r="N1296" i="1"/>
  <c r="M1296" i="1"/>
  <c r="O1295" i="1" a="1"/>
  <c r="N1295" i="1"/>
  <c r="M1295" i="1"/>
  <c r="O1294" i="1" a="1"/>
  <c r="N1294" i="1"/>
  <c r="M1294" i="1"/>
  <c r="O1293" i="1" a="1"/>
  <c r="N1293" i="1"/>
  <c r="M1293" i="1"/>
  <c r="O1292" i="1" a="1"/>
  <c r="N1292" i="1"/>
  <c r="M1292" i="1"/>
  <c r="O1291" i="1" a="1"/>
  <c r="N1291" i="1"/>
  <c r="M1291" i="1"/>
  <c r="O1290" i="1" a="1"/>
  <c r="N1290" i="1"/>
  <c r="M1290" i="1"/>
  <c r="O1289" i="1" a="1"/>
  <c r="N1289" i="1"/>
  <c r="M1289" i="1"/>
  <c r="O1288" i="1" a="1"/>
  <c r="N1288" i="1"/>
  <c r="M1288" i="1"/>
  <c r="O1287" i="1" a="1"/>
  <c r="N1287" i="1"/>
  <c r="M1287" i="1"/>
  <c r="O1286" i="1" a="1"/>
  <c r="N1286" i="1"/>
  <c r="M1286" i="1"/>
  <c r="O1285" i="1" a="1"/>
  <c r="N1285" i="1"/>
  <c r="M1285" i="1"/>
  <c r="O1284" i="1" a="1"/>
  <c r="N1284" i="1"/>
  <c r="M1284" i="1"/>
  <c r="O1283" i="1" a="1"/>
  <c r="N1283" i="1"/>
  <c r="M1283" i="1"/>
  <c r="O1282" i="1" a="1"/>
  <c r="N1282" i="1"/>
  <c r="M1282" i="1"/>
  <c r="O1281" i="1" a="1"/>
  <c r="N1281" i="1"/>
  <c r="M1281" i="1"/>
  <c r="O1280" i="1" a="1"/>
  <c r="N1280" i="1"/>
  <c r="M1280" i="1"/>
  <c r="O1279" i="1" a="1"/>
  <c r="N1279" i="1"/>
  <c r="M1279" i="1"/>
  <c r="O1278" i="1" a="1"/>
  <c r="N1278" i="1"/>
  <c r="M1278" i="1"/>
  <c r="O1277" i="1" a="1"/>
  <c r="N1277" i="1"/>
  <c r="M1277" i="1"/>
  <c r="O1276" i="1" a="1"/>
  <c r="N1276" i="1"/>
  <c r="M1276" i="1"/>
  <c r="O1275" i="1" a="1"/>
  <c r="N1275" i="1"/>
  <c r="M1275" i="1"/>
  <c r="O1274" i="1" a="1"/>
  <c r="N1274" i="1"/>
  <c r="M1274" i="1"/>
  <c r="O1273" i="1" a="1"/>
  <c r="N1273" i="1"/>
  <c r="M1273" i="1"/>
  <c r="O1272" i="1" a="1"/>
  <c r="N1272" i="1"/>
  <c r="M1272" i="1"/>
  <c r="O1271" i="1" a="1"/>
  <c r="N1271" i="1"/>
  <c r="M1271" i="1"/>
  <c r="O1270" i="1" a="1"/>
  <c r="N1270" i="1"/>
  <c r="M1270" i="1"/>
  <c r="O1269" i="1" a="1"/>
  <c r="N1269" i="1"/>
  <c r="M1269" i="1"/>
  <c r="O1268" i="1" a="1"/>
  <c r="N1268" i="1"/>
  <c r="M1268" i="1"/>
  <c r="O1267" i="1" a="1"/>
  <c r="N1267" i="1"/>
  <c r="M1267" i="1"/>
  <c r="O1266" i="1" a="1"/>
  <c r="N1266" i="1"/>
  <c r="M1266" i="1"/>
  <c r="O1265" i="1" a="1"/>
  <c r="N1265" i="1"/>
  <c r="M1265" i="1"/>
  <c r="O1264" i="1" a="1"/>
  <c r="N1264" i="1"/>
  <c r="M1264" i="1"/>
  <c r="O1263" i="1" a="1"/>
  <c r="N1263" i="1"/>
  <c r="M1263" i="1"/>
  <c r="O1262" i="1" a="1"/>
  <c r="N1262" i="1"/>
  <c r="M1262" i="1"/>
  <c r="O1261" i="1" a="1"/>
  <c r="N1261" i="1"/>
  <c r="M1261" i="1"/>
  <c r="O1260" i="1" a="1"/>
  <c r="N1260" i="1"/>
  <c r="M1260" i="1"/>
  <c r="O1259" i="1" a="1"/>
  <c r="N1259" i="1"/>
  <c r="M1259" i="1"/>
  <c r="O1258" i="1" a="1"/>
  <c r="N1258" i="1"/>
  <c r="M1258" i="1"/>
  <c r="O1257" i="1" a="1"/>
  <c r="N1257" i="1"/>
  <c r="M1257" i="1"/>
  <c r="O1256" i="1" a="1"/>
  <c r="N1256" i="1"/>
  <c r="M1256" i="1"/>
  <c r="O1255" i="1" a="1"/>
  <c r="N1255" i="1"/>
  <c r="M1255" i="1"/>
  <c r="O1254" i="1" a="1"/>
  <c r="N1254" i="1"/>
  <c r="M1254" i="1"/>
  <c r="O1253" i="1" a="1"/>
  <c r="N1253" i="1"/>
  <c r="M1253" i="1"/>
  <c r="O1252" i="1" a="1"/>
  <c r="N1252" i="1"/>
  <c r="M1252" i="1"/>
  <c r="O1251" i="1" a="1"/>
  <c r="N1251" i="1"/>
  <c r="M1251" i="1"/>
  <c r="O1250" i="1" a="1"/>
  <c r="N1250" i="1"/>
  <c r="M1250" i="1"/>
  <c r="O1249" i="1" a="1"/>
  <c r="N1249" i="1"/>
  <c r="M1249" i="1"/>
  <c r="O1248" i="1" a="1"/>
  <c r="N1248" i="1"/>
  <c r="M1248" i="1"/>
  <c r="O1247" i="1" a="1"/>
  <c r="N1247" i="1"/>
  <c r="M1247" i="1"/>
  <c r="O1246" i="1" a="1"/>
  <c r="N1246" i="1"/>
  <c r="M1246" i="1"/>
  <c r="O1245" i="1" a="1"/>
  <c r="N1245" i="1"/>
  <c r="M1245" i="1"/>
  <c r="O1244" i="1" a="1"/>
  <c r="N1244" i="1"/>
  <c r="M1244" i="1"/>
  <c r="O1243" i="1" a="1"/>
  <c r="N1243" i="1"/>
  <c r="M1243" i="1"/>
  <c r="O1242" i="1" a="1"/>
  <c r="N1242" i="1"/>
  <c r="M1242" i="1"/>
  <c r="O1241" i="1" a="1"/>
  <c r="N1241" i="1"/>
  <c r="M1241" i="1"/>
  <c r="O1240" i="1" a="1"/>
  <c r="N1240" i="1"/>
  <c r="M1240" i="1"/>
  <c r="O1239" i="1" a="1"/>
  <c r="N1239" i="1"/>
  <c r="M1239" i="1"/>
  <c r="O1238" i="1" a="1"/>
  <c r="N1238" i="1"/>
  <c r="M1238" i="1"/>
  <c r="O1237" i="1" a="1"/>
  <c r="N1237" i="1"/>
  <c r="M1237" i="1"/>
  <c r="O1236" i="1" a="1"/>
  <c r="N1236" i="1"/>
  <c r="M1236" i="1"/>
  <c r="O1235" i="1" a="1"/>
  <c r="N1235" i="1"/>
  <c r="M1235" i="1"/>
  <c r="O1234" i="1" a="1"/>
  <c r="N1234" i="1"/>
  <c r="M1234" i="1"/>
  <c r="O1233" i="1" a="1"/>
  <c r="N1233" i="1"/>
  <c r="M1233" i="1"/>
  <c r="O1232" i="1" a="1"/>
  <c r="N1232" i="1"/>
  <c r="M1232" i="1"/>
  <c r="O1231" i="1" a="1"/>
  <c r="N1231" i="1"/>
  <c r="M1231" i="1"/>
  <c r="O1230" i="1" a="1"/>
  <c r="N1230" i="1"/>
  <c r="M1230" i="1"/>
  <c r="O1229" i="1" a="1"/>
  <c r="N1229" i="1"/>
  <c r="M1229" i="1"/>
  <c r="O1228" i="1" a="1"/>
  <c r="N1228" i="1"/>
  <c r="M1228" i="1"/>
  <c r="O1227" i="1" a="1"/>
  <c r="N1227" i="1"/>
  <c r="M1227" i="1"/>
  <c r="O1226" i="1" a="1"/>
  <c r="N1226" i="1"/>
  <c r="M1226" i="1"/>
  <c r="O1225" i="1" a="1"/>
  <c r="N1225" i="1"/>
  <c r="M1225" i="1"/>
  <c r="O1224" i="1" a="1"/>
  <c r="N1224" i="1"/>
  <c r="M1224" i="1"/>
  <c r="O1223" i="1" a="1"/>
  <c r="N1223" i="1"/>
  <c r="M1223" i="1"/>
  <c r="O1222" i="1" a="1"/>
  <c r="N1222" i="1"/>
  <c r="M1222" i="1"/>
  <c r="O1221" i="1" a="1"/>
  <c r="N1221" i="1"/>
  <c r="M1221" i="1"/>
  <c r="O1220" i="1" a="1"/>
  <c r="N1220" i="1"/>
  <c r="M1220" i="1"/>
  <c r="O1219" i="1" a="1"/>
  <c r="N1219" i="1"/>
  <c r="M1219" i="1"/>
  <c r="O1218" i="1" a="1"/>
  <c r="N1218" i="1"/>
  <c r="M1218" i="1"/>
  <c r="O1217" i="1" a="1"/>
  <c r="N1217" i="1"/>
  <c r="M1217" i="1"/>
  <c r="O1216" i="1" a="1"/>
  <c r="N1216" i="1"/>
  <c r="M1216" i="1"/>
  <c r="O1215" i="1" a="1"/>
  <c r="N1215" i="1"/>
  <c r="M1215" i="1"/>
  <c r="O1214" i="1" a="1"/>
  <c r="N1214" i="1"/>
  <c r="M1214" i="1"/>
  <c r="O1213" i="1" a="1"/>
  <c r="N1213" i="1"/>
  <c r="M1213" i="1"/>
  <c r="O1212" i="1" a="1"/>
  <c r="N1212" i="1"/>
  <c r="M1212" i="1"/>
  <c r="O1211" i="1" a="1"/>
  <c r="N1211" i="1"/>
  <c r="M1211" i="1"/>
  <c r="O1210" i="1" a="1"/>
  <c r="N1210" i="1"/>
  <c r="M1210" i="1"/>
  <c r="O1209" i="1" a="1"/>
  <c r="N1209" i="1"/>
  <c r="M1209" i="1"/>
  <c r="O1208" i="1" a="1"/>
  <c r="N1208" i="1"/>
  <c r="M1208" i="1"/>
  <c r="O1207" i="1" a="1"/>
  <c r="N1207" i="1"/>
  <c r="M1207" i="1"/>
  <c r="O1206" i="1" a="1"/>
  <c r="N1206" i="1"/>
  <c r="M1206" i="1"/>
  <c r="O1205" i="1" a="1"/>
  <c r="N1205" i="1"/>
  <c r="M1205" i="1"/>
  <c r="O1204" i="1" a="1"/>
  <c r="N1204" i="1"/>
  <c r="M1204" i="1"/>
  <c r="O1203" i="1" a="1"/>
  <c r="N1203" i="1"/>
  <c r="M1203" i="1"/>
  <c r="O1202" i="1" a="1"/>
  <c r="N1202" i="1"/>
  <c r="M1202" i="1"/>
  <c r="O1201" i="1" a="1"/>
  <c r="N1201" i="1"/>
  <c r="M1201" i="1"/>
  <c r="O1200" i="1" a="1"/>
  <c r="N1200" i="1"/>
  <c r="M1200" i="1"/>
  <c r="O1199" i="1" a="1"/>
  <c r="N1199" i="1"/>
  <c r="M1199" i="1"/>
  <c r="O1198" i="1" a="1"/>
  <c r="N1198" i="1"/>
  <c r="M1198" i="1"/>
  <c r="O1197" i="1" a="1"/>
  <c r="N1197" i="1"/>
  <c r="M1197" i="1"/>
  <c r="O1196" i="1" a="1"/>
  <c r="N1196" i="1"/>
  <c r="M1196" i="1"/>
  <c r="O1195" i="1" a="1"/>
  <c r="N1195" i="1"/>
  <c r="M1195" i="1"/>
  <c r="O1194" i="1" a="1"/>
  <c r="N1194" i="1"/>
  <c r="M1194" i="1"/>
  <c r="O1193" i="1" a="1"/>
  <c r="N1193" i="1"/>
  <c r="M1193" i="1"/>
  <c r="O1192" i="1" a="1"/>
  <c r="N1192" i="1"/>
  <c r="M1192" i="1"/>
  <c r="O1191" i="1" a="1"/>
  <c r="N1191" i="1"/>
  <c r="M1191" i="1"/>
  <c r="O1190" i="1" a="1"/>
  <c r="N1190" i="1"/>
  <c r="M1190" i="1"/>
  <c r="O1189" i="1" a="1"/>
  <c r="N1189" i="1"/>
  <c r="M1189" i="1"/>
  <c r="O1188" i="1" a="1"/>
  <c r="N1188" i="1"/>
  <c r="M1188" i="1"/>
  <c r="O1187" i="1" a="1"/>
  <c r="N1187" i="1"/>
  <c r="M1187" i="1"/>
  <c r="O1186" i="1" a="1"/>
  <c r="N1186" i="1"/>
  <c r="M1186" i="1"/>
  <c r="O1185" i="1" a="1"/>
  <c r="N1185" i="1"/>
  <c r="M1185" i="1"/>
  <c r="O1184" i="1" a="1"/>
  <c r="N1184" i="1"/>
  <c r="M1184" i="1"/>
  <c r="O1183" i="1" a="1"/>
  <c r="N1183" i="1"/>
  <c r="M1183" i="1"/>
  <c r="O1182" i="1" a="1"/>
  <c r="N1182" i="1"/>
  <c r="M1182" i="1"/>
  <c r="O1181" i="1" a="1"/>
  <c r="N1181" i="1"/>
  <c r="M1181" i="1"/>
  <c r="O1180" i="1" a="1"/>
  <c r="N1180" i="1"/>
  <c r="M1180" i="1"/>
  <c r="O1179" i="1" a="1"/>
  <c r="N1179" i="1"/>
  <c r="M1179" i="1"/>
  <c r="O1178" i="1" a="1"/>
  <c r="N1178" i="1"/>
  <c r="M1178" i="1"/>
  <c r="O1177" i="1" a="1"/>
  <c r="N1177" i="1"/>
  <c r="M1177" i="1"/>
  <c r="O1176" i="1" a="1"/>
  <c r="N1176" i="1"/>
  <c r="M1176" i="1"/>
  <c r="O1175" i="1" a="1"/>
  <c r="N1175" i="1"/>
  <c r="M1175" i="1"/>
  <c r="O1174" i="1" a="1"/>
  <c r="N1174" i="1"/>
  <c r="M1174" i="1"/>
  <c r="O1173" i="1" a="1"/>
  <c r="N1173" i="1"/>
  <c r="M1173" i="1"/>
  <c r="O1172" i="1" a="1"/>
  <c r="N1172" i="1"/>
  <c r="M1172" i="1"/>
  <c r="O1171" i="1" a="1"/>
  <c r="N1171" i="1"/>
  <c r="M1171" i="1"/>
  <c r="O1170" i="1" a="1"/>
  <c r="N1170" i="1"/>
  <c r="M1170" i="1"/>
  <c r="O1169" i="1" a="1"/>
  <c r="N1169" i="1"/>
  <c r="M1169" i="1"/>
  <c r="O1168" i="1" a="1"/>
  <c r="N1168" i="1"/>
  <c r="M1168" i="1"/>
  <c r="O1167" i="1" a="1"/>
  <c r="N1167" i="1"/>
  <c r="M1167" i="1"/>
  <c r="O1166" i="1" a="1"/>
  <c r="N1166" i="1"/>
  <c r="M1166" i="1"/>
  <c r="O1165" i="1" a="1"/>
  <c r="N1165" i="1"/>
  <c r="M1165" i="1"/>
  <c r="O1164" i="1" a="1"/>
  <c r="N1164" i="1"/>
  <c r="M1164" i="1"/>
  <c r="O1163" i="1" a="1"/>
  <c r="N1163" i="1"/>
  <c r="M1163" i="1"/>
  <c r="O1162" i="1" a="1"/>
  <c r="N1162" i="1"/>
  <c r="M1162" i="1"/>
  <c r="O1161" i="1" a="1"/>
  <c r="N1161" i="1"/>
  <c r="M1161" i="1"/>
  <c r="O1160" i="1" a="1"/>
  <c r="N1160" i="1"/>
  <c r="M1160" i="1"/>
  <c r="O1159" i="1" a="1"/>
  <c r="N1159" i="1"/>
  <c r="M1159" i="1"/>
  <c r="O1158" i="1" a="1"/>
  <c r="N1158" i="1"/>
  <c r="M1158" i="1"/>
  <c r="O1157" i="1" a="1"/>
  <c r="N1157" i="1"/>
  <c r="M1157" i="1"/>
  <c r="O1156" i="1" a="1"/>
  <c r="N1156" i="1"/>
  <c r="M1156" i="1"/>
  <c r="O1155" i="1" a="1"/>
  <c r="N1155" i="1"/>
  <c r="M1155" i="1"/>
  <c r="O1154" i="1" a="1"/>
  <c r="N1154" i="1"/>
  <c r="M1154" i="1"/>
  <c r="O1153" i="1" a="1"/>
  <c r="N1153" i="1"/>
  <c r="M1153" i="1"/>
  <c r="O1152" i="1" a="1"/>
  <c r="N1152" i="1"/>
  <c r="M1152" i="1"/>
  <c r="O1151" i="1" a="1"/>
  <c r="N1151" i="1"/>
  <c r="M1151" i="1"/>
  <c r="O1150" i="1" a="1"/>
  <c r="N1150" i="1"/>
  <c r="M1150" i="1"/>
  <c r="O1149" i="1" a="1"/>
  <c r="N1149" i="1"/>
  <c r="M1149" i="1"/>
  <c r="O1148" i="1" a="1"/>
  <c r="N1148" i="1"/>
  <c r="M1148" i="1"/>
  <c r="O1147" i="1" a="1"/>
  <c r="N1147" i="1"/>
  <c r="M1147" i="1"/>
  <c r="O1146" i="1" a="1"/>
  <c r="N1146" i="1"/>
  <c r="M1146" i="1"/>
  <c r="O1145" i="1" a="1"/>
  <c r="N1145" i="1"/>
  <c r="M1145" i="1"/>
  <c r="O1144" i="1" a="1"/>
  <c r="N1144" i="1"/>
  <c r="M1144" i="1"/>
  <c r="O1143" i="1" a="1"/>
  <c r="N1143" i="1"/>
  <c r="M1143" i="1"/>
  <c r="O1142" i="1" a="1"/>
  <c r="N1142" i="1"/>
  <c r="M1142" i="1"/>
  <c r="O1141" i="1" a="1"/>
  <c r="N1141" i="1"/>
  <c r="M1141" i="1"/>
  <c r="O1140" i="1" a="1"/>
  <c r="N1140" i="1"/>
  <c r="M1140" i="1"/>
  <c r="O1139" i="1" a="1"/>
  <c r="N1139" i="1"/>
  <c r="M1139" i="1"/>
  <c r="O1138" i="1" a="1"/>
  <c r="N1138" i="1"/>
  <c r="M1138" i="1"/>
  <c r="O1137" i="1" a="1"/>
  <c r="N1137" i="1"/>
  <c r="M1137" i="1"/>
  <c r="O1136" i="1" a="1"/>
  <c r="N1136" i="1"/>
  <c r="M1136" i="1"/>
  <c r="O1135" i="1" a="1"/>
  <c r="N1135" i="1"/>
  <c r="M1135" i="1"/>
  <c r="O1134" i="1" a="1"/>
  <c r="N1134" i="1"/>
  <c r="M1134" i="1"/>
  <c r="O1133" i="1" a="1"/>
  <c r="N1133" i="1"/>
  <c r="M1133" i="1"/>
  <c r="O1132" i="1" a="1"/>
  <c r="N1132" i="1"/>
  <c r="M1132" i="1"/>
  <c r="O1131" i="1" a="1"/>
  <c r="N1131" i="1"/>
  <c r="M1131" i="1"/>
  <c r="O1130" i="1" a="1"/>
  <c r="N1130" i="1"/>
  <c r="M1130" i="1"/>
  <c r="O1129" i="1" a="1"/>
  <c r="N1129" i="1"/>
  <c r="M1129" i="1"/>
  <c r="O1128" i="1" a="1"/>
  <c r="N1128" i="1"/>
  <c r="M1128" i="1"/>
  <c r="O1127" i="1" a="1"/>
  <c r="N1127" i="1"/>
  <c r="M1127" i="1"/>
  <c r="O1126" i="1" a="1"/>
  <c r="N1126" i="1"/>
  <c r="M1126" i="1"/>
  <c r="O1125" i="1" a="1"/>
  <c r="N1125" i="1"/>
  <c r="M1125" i="1"/>
  <c r="O1124" i="1" a="1"/>
  <c r="N1124" i="1"/>
  <c r="M1124" i="1"/>
  <c r="O1123" i="1" a="1"/>
  <c r="N1123" i="1"/>
  <c r="M1123" i="1"/>
  <c r="O1122" i="1" a="1"/>
  <c r="N1122" i="1"/>
  <c r="M1122" i="1"/>
  <c r="O1121" i="1" a="1"/>
  <c r="N1121" i="1"/>
  <c r="M1121" i="1"/>
  <c r="O1120" i="1" a="1"/>
  <c r="N1120" i="1"/>
  <c r="M1120" i="1"/>
  <c r="O1119" i="1" a="1"/>
  <c r="N1119" i="1"/>
  <c r="M1119" i="1"/>
  <c r="O1118" i="1" a="1"/>
  <c r="N1118" i="1"/>
  <c r="M1118" i="1"/>
  <c r="O1117" i="1" a="1"/>
  <c r="N1117" i="1"/>
  <c r="M1117" i="1"/>
  <c r="O1116" i="1" a="1"/>
  <c r="N1116" i="1"/>
  <c r="M1116" i="1"/>
  <c r="O1115" i="1" a="1"/>
  <c r="N1115" i="1"/>
  <c r="M1115" i="1"/>
  <c r="O1114" i="1" a="1"/>
  <c r="N1114" i="1"/>
  <c r="M1114" i="1"/>
  <c r="O1113" i="1" a="1"/>
  <c r="N1113" i="1"/>
  <c r="M1113" i="1"/>
  <c r="O1112" i="1" a="1"/>
  <c r="N1112" i="1"/>
  <c r="M1112" i="1"/>
  <c r="O1111" i="1" a="1"/>
  <c r="N1111" i="1"/>
  <c r="M1111" i="1"/>
  <c r="O1110" i="1" a="1"/>
  <c r="N1110" i="1"/>
  <c r="M1110" i="1"/>
  <c r="O1109" i="1" a="1"/>
  <c r="N1109" i="1"/>
  <c r="M1109" i="1"/>
  <c r="O1108" i="1" a="1"/>
  <c r="N1108" i="1"/>
  <c r="M1108" i="1"/>
  <c r="O1107" i="1" a="1"/>
  <c r="N1107" i="1"/>
  <c r="M1107" i="1"/>
  <c r="O1106" i="1" a="1"/>
  <c r="N1106" i="1"/>
  <c r="M1106" i="1"/>
  <c r="O1105" i="1" a="1"/>
  <c r="N1105" i="1"/>
  <c r="M1105" i="1"/>
  <c r="O1104" i="1" a="1"/>
  <c r="N1104" i="1"/>
  <c r="M1104" i="1"/>
  <c r="O1103" i="1" a="1"/>
  <c r="N1103" i="1"/>
  <c r="M1103" i="1"/>
  <c r="O1102" i="1" a="1"/>
  <c r="N1102" i="1"/>
  <c r="M1102" i="1"/>
  <c r="O1101" i="1" a="1"/>
  <c r="N1101" i="1"/>
  <c r="M1101" i="1"/>
  <c r="O1100" i="1" a="1"/>
  <c r="N1100" i="1"/>
  <c r="M1100" i="1"/>
  <c r="O1099" i="1" a="1"/>
  <c r="N1099" i="1"/>
  <c r="M1099" i="1"/>
  <c r="O1098" i="1" a="1"/>
  <c r="N1098" i="1"/>
  <c r="M1098" i="1"/>
  <c r="O1097" i="1" a="1"/>
  <c r="N1097" i="1"/>
  <c r="M1097" i="1"/>
  <c r="O1096" i="1" a="1"/>
  <c r="N1096" i="1"/>
  <c r="M1096" i="1"/>
  <c r="O1095" i="1" a="1"/>
  <c r="N1095" i="1"/>
  <c r="M1095" i="1"/>
  <c r="O1094" i="1" a="1"/>
  <c r="N1094" i="1"/>
  <c r="M1094" i="1"/>
  <c r="O1093" i="1" a="1"/>
  <c r="N1093" i="1"/>
  <c r="M1093" i="1"/>
  <c r="O1092" i="1" a="1"/>
  <c r="N1092" i="1"/>
  <c r="M1092" i="1"/>
  <c r="O1091" i="1" a="1"/>
  <c r="N1091" i="1"/>
  <c r="M1091" i="1"/>
  <c r="O1090" i="1" a="1"/>
  <c r="N1090" i="1"/>
  <c r="M1090" i="1"/>
  <c r="O1089" i="1" a="1"/>
  <c r="N1089" i="1"/>
  <c r="M1089" i="1"/>
  <c r="O1088" i="1" a="1"/>
  <c r="N1088" i="1"/>
  <c r="M1088" i="1"/>
  <c r="O1087" i="1" a="1"/>
  <c r="N1087" i="1"/>
  <c r="M1087" i="1"/>
  <c r="O1086" i="1" a="1"/>
  <c r="N1086" i="1"/>
  <c r="M1086" i="1"/>
  <c r="O1085" i="1" a="1"/>
  <c r="N1085" i="1"/>
  <c r="M1085" i="1"/>
  <c r="O1084" i="1" a="1"/>
  <c r="N1084" i="1"/>
  <c r="M1084" i="1"/>
  <c r="O1083" i="1" a="1"/>
  <c r="N1083" i="1"/>
  <c r="M1083" i="1"/>
  <c r="O1082" i="1" a="1"/>
  <c r="N1082" i="1"/>
  <c r="M1082" i="1"/>
  <c r="O1081" i="1" a="1"/>
  <c r="N1081" i="1"/>
  <c r="M1081" i="1"/>
  <c r="O1080" i="1" a="1"/>
  <c r="N1080" i="1"/>
  <c r="M1080" i="1"/>
  <c r="O1079" i="1" a="1"/>
  <c r="N1079" i="1"/>
  <c r="M1079" i="1"/>
  <c r="O1078" i="1" a="1"/>
  <c r="N1078" i="1"/>
  <c r="M1078" i="1"/>
  <c r="O1077" i="1" a="1"/>
  <c r="N1077" i="1"/>
  <c r="M1077" i="1"/>
  <c r="O1076" i="1" a="1"/>
  <c r="N1076" i="1"/>
  <c r="M1076" i="1"/>
  <c r="O1075" i="1" a="1"/>
  <c r="N1075" i="1"/>
  <c r="M1075" i="1"/>
  <c r="O1074" i="1" a="1"/>
  <c r="N1074" i="1"/>
  <c r="M1074" i="1"/>
  <c r="O1073" i="1" a="1"/>
  <c r="N1073" i="1"/>
  <c r="M1073" i="1"/>
  <c r="O1072" i="1" a="1"/>
  <c r="N1072" i="1"/>
  <c r="M1072" i="1"/>
  <c r="O1071" i="1" a="1"/>
  <c r="N1071" i="1"/>
  <c r="M1071" i="1"/>
  <c r="O1070" i="1" a="1"/>
  <c r="N1070" i="1"/>
  <c r="M1070" i="1"/>
  <c r="O1069" i="1" a="1"/>
  <c r="N1069" i="1"/>
  <c r="M1069" i="1"/>
  <c r="O1068" i="1" a="1"/>
  <c r="N1068" i="1"/>
  <c r="M1068" i="1"/>
  <c r="O1067" i="1" a="1"/>
  <c r="N1067" i="1"/>
  <c r="M1067" i="1"/>
  <c r="O1066" i="1" a="1"/>
  <c r="N1066" i="1"/>
  <c r="M1066" i="1"/>
  <c r="O1065" i="1" a="1"/>
  <c r="N1065" i="1"/>
  <c r="M1065" i="1"/>
  <c r="O1064" i="1" a="1"/>
  <c r="N1064" i="1"/>
  <c r="M1064" i="1"/>
  <c r="O1063" i="1" a="1"/>
  <c r="N1063" i="1"/>
  <c r="M1063" i="1"/>
  <c r="O1062" i="1" a="1"/>
  <c r="N1062" i="1"/>
  <c r="M1062" i="1"/>
  <c r="O1061" i="1" a="1"/>
  <c r="N1061" i="1"/>
  <c r="M1061" i="1"/>
  <c r="O1060" i="1" a="1"/>
  <c r="N1060" i="1"/>
  <c r="M1060" i="1"/>
  <c r="O1059" i="1" a="1"/>
  <c r="N1059" i="1"/>
  <c r="M1059" i="1"/>
  <c r="O1058" i="1" a="1"/>
  <c r="N1058" i="1"/>
  <c r="M1058" i="1"/>
  <c r="O1057" i="1" a="1"/>
  <c r="N1057" i="1"/>
  <c r="M1057" i="1"/>
  <c r="O1056" i="1" a="1"/>
  <c r="N1056" i="1"/>
  <c r="M1056" i="1"/>
  <c r="O1055" i="1" a="1"/>
  <c r="N1055" i="1"/>
  <c r="M1055" i="1"/>
  <c r="O1054" i="1" a="1"/>
  <c r="N1054" i="1"/>
  <c r="M1054" i="1"/>
  <c r="O1053" i="1" a="1"/>
  <c r="N1053" i="1"/>
  <c r="M1053" i="1"/>
  <c r="O1052" i="1" a="1"/>
  <c r="N1052" i="1"/>
  <c r="M1052" i="1"/>
  <c r="O1051" i="1" a="1"/>
  <c r="N1051" i="1"/>
  <c r="M1051" i="1"/>
  <c r="O1050" i="1" a="1"/>
  <c r="N1050" i="1"/>
  <c r="M1050" i="1"/>
  <c r="O1049" i="1" a="1"/>
  <c r="N1049" i="1"/>
  <c r="M1049" i="1"/>
  <c r="O1048" i="1" a="1"/>
  <c r="N1048" i="1"/>
  <c r="M1048" i="1"/>
  <c r="O1047" i="1" a="1"/>
  <c r="N1047" i="1"/>
  <c r="M1047" i="1"/>
  <c r="O1046" i="1" a="1"/>
  <c r="N1046" i="1"/>
  <c r="M1046" i="1"/>
  <c r="O1045" i="1" a="1"/>
  <c r="N1045" i="1"/>
  <c r="M1045" i="1"/>
  <c r="O1044" i="1" a="1"/>
  <c r="N1044" i="1"/>
  <c r="M1044" i="1"/>
  <c r="O1043" i="1" a="1"/>
  <c r="N1043" i="1"/>
  <c r="M1043" i="1"/>
  <c r="O1042" i="1" a="1"/>
  <c r="N1042" i="1"/>
  <c r="M1042" i="1"/>
  <c r="O1041" i="1" a="1"/>
  <c r="N1041" i="1"/>
  <c r="M1041" i="1"/>
  <c r="O1040" i="1" a="1"/>
  <c r="N1040" i="1"/>
  <c r="M1040" i="1"/>
  <c r="O1039" i="1" a="1"/>
  <c r="N1039" i="1"/>
  <c r="M1039" i="1"/>
  <c r="O1038" i="1" a="1"/>
  <c r="N1038" i="1"/>
  <c r="M1038" i="1"/>
  <c r="O1037" i="1" a="1"/>
  <c r="N1037" i="1"/>
  <c r="M1037" i="1"/>
  <c r="O1036" i="1" a="1"/>
  <c r="N1036" i="1"/>
  <c r="M1036" i="1"/>
  <c r="O1035" i="1" a="1"/>
  <c r="N1035" i="1"/>
  <c r="M1035" i="1"/>
  <c r="O1034" i="1" a="1"/>
  <c r="N1034" i="1"/>
  <c r="M1034" i="1"/>
  <c r="O1033" i="1" a="1"/>
  <c r="N1033" i="1"/>
  <c r="M1033" i="1"/>
  <c r="O1032" i="1" a="1"/>
  <c r="N1032" i="1"/>
  <c r="M1032" i="1"/>
  <c r="O1031" i="1" a="1"/>
  <c r="N1031" i="1"/>
  <c r="M1031" i="1"/>
  <c r="O1030" i="1" a="1"/>
  <c r="N1030" i="1"/>
  <c r="M1030" i="1"/>
  <c r="O1029" i="1" a="1"/>
  <c r="N1029" i="1"/>
  <c r="M1029" i="1"/>
  <c r="O1028" i="1" a="1"/>
  <c r="N1028" i="1"/>
  <c r="M1028" i="1"/>
  <c r="O1027" i="1" a="1"/>
  <c r="N1027" i="1"/>
  <c r="M1027" i="1"/>
  <c r="O1026" i="1" a="1"/>
  <c r="N1026" i="1"/>
  <c r="M1026" i="1"/>
  <c r="O1025" i="1" a="1"/>
  <c r="N1025" i="1"/>
  <c r="M1025" i="1"/>
  <c r="O1024" i="1" a="1"/>
  <c r="N1024" i="1"/>
  <c r="M1024" i="1"/>
  <c r="O1023" i="1" a="1"/>
  <c r="N1023" i="1"/>
  <c r="M1023" i="1"/>
  <c r="O1022" i="1" a="1"/>
  <c r="N1022" i="1"/>
  <c r="M1022" i="1"/>
  <c r="O1021" i="1" a="1"/>
  <c r="N1021" i="1"/>
  <c r="M1021" i="1"/>
  <c r="O1020" i="1" a="1"/>
  <c r="N1020" i="1"/>
  <c r="M1020" i="1"/>
  <c r="O1019" i="1" a="1"/>
  <c r="N1019" i="1"/>
  <c r="M1019" i="1"/>
  <c r="O1018" i="1" a="1"/>
  <c r="N1018" i="1"/>
  <c r="M1018" i="1"/>
  <c r="O1017" i="1" a="1"/>
  <c r="N1017" i="1"/>
  <c r="M1017" i="1"/>
  <c r="O1016" i="1" a="1"/>
  <c r="N1016" i="1"/>
  <c r="M1016" i="1"/>
  <c r="O1015" i="1" a="1"/>
  <c r="N1015" i="1"/>
  <c r="M1015" i="1"/>
  <c r="O1014" i="1" a="1"/>
  <c r="N1014" i="1"/>
  <c r="M1014" i="1"/>
  <c r="O1013" i="1" a="1"/>
  <c r="N1013" i="1"/>
  <c r="M1013" i="1"/>
  <c r="O1012" i="1" a="1"/>
  <c r="N1012" i="1"/>
  <c r="M1012" i="1"/>
  <c r="O1011" i="1" a="1"/>
  <c r="N1011" i="1"/>
  <c r="M1011" i="1"/>
  <c r="O1010" i="1" a="1"/>
  <c r="N1010" i="1"/>
  <c r="M1010" i="1"/>
  <c r="O1009" i="1" a="1"/>
  <c r="N1009" i="1"/>
  <c r="M1009" i="1"/>
  <c r="O1008" i="1" a="1"/>
  <c r="N1008" i="1"/>
  <c r="M1008" i="1"/>
  <c r="O1007" i="1" a="1"/>
  <c r="N1007" i="1"/>
  <c r="M1007" i="1"/>
  <c r="O1006" i="1" a="1"/>
  <c r="N1006" i="1"/>
  <c r="M1006" i="1"/>
  <c r="O1005" i="1" a="1"/>
  <c r="N1005" i="1"/>
  <c r="M1005" i="1"/>
  <c r="O1004" i="1" a="1"/>
  <c r="N1004" i="1"/>
  <c r="M1004" i="1"/>
  <c r="O1003" i="1" a="1"/>
  <c r="N1003" i="1"/>
  <c r="M1003" i="1"/>
  <c r="O1002" i="1" a="1"/>
  <c r="N1002" i="1"/>
  <c r="M1002" i="1"/>
  <c r="O1001" i="1" a="1"/>
  <c r="N1001" i="1"/>
  <c r="M1001" i="1"/>
  <c r="O1000" i="1" a="1"/>
  <c r="N1000" i="1"/>
  <c r="M1000" i="1"/>
  <c r="O999" i="1" a="1"/>
  <c r="N999" i="1"/>
  <c r="M999" i="1"/>
  <c r="O998" i="1" a="1"/>
  <c r="N998" i="1"/>
  <c r="M998" i="1"/>
  <c r="O997" i="1" a="1"/>
  <c r="N997" i="1"/>
  <c r="M997" i="1"/>
  <c r="O996" i="1" a="1"/>
  <c r="N996" i="1"/>
  <c r="M996" i="1"/>
  <c r="O995" i="1" a="1"/>
  <c r="N995" i="1"/>
  <c r="M995" i="1"/>
  <c r="O994" i="1" a="1"/>
  <c r="N994" i="1"/>
  <c r="M994" i="1"/>
  <c r="O993" i="1" a="1"/>
  <c r="N993" i="1"/>
  <c r="M993" i="1"/>
  <c r="O992" i="1" a="1"/>
  <c r="N992" i="1"/>
  <c r="M992" i="1"/>
  <c r="O991" i="1" a="1"/>
  <c r="N991" i="1"/>
  <c r="M991" i="1"/>
  <c r="O990" i="1" a="1"/>
  <c r="N990" i="1"/>
  <c r="M990" i="1"/>
  <c r="O989" i="1" a="1"/>
  <c r="N989" i="1"/>
  <c r="M989" i="1"/>
  <c r="O988" i="1" a="1"/>
  <c r="N988" i="1"/>
  <c r="M988" i="1"/>
  <c r="O987" i="1" a="1"/>
  <c r="N987" i="1"/>
  <c r="M987" i="1"/>
  <c r="O986" i="1" a="1"/>
  <c r="N986" i="1"/>
  <c r="M986" i="1"/>
  <c r="O985" i="1" a="1"/>
  <c r="N985" i="1"/>
  <c r="M985" i="1"/>
  <c r="O984" i="1" a="1"/>
  <c r="N984" i="1"/>
  <c r="M984" i="1"/>
  <c r="O983" i="1" a="1"/>
  <c r="N983" i="1"/>
  <c r="M983" i="1"/>
  <c r="O982" i="1" a="1"/>
  <c r="N982" i="1"/>
  <c r="M982" i="1"/>
  <c r="O981" i="1" a="1"/>
  <c r="N981" i="1"/>
  <c r="M981" i="1"/>
  <c r="O980" i="1" a="1"/>
  <c r="N980" i="1"/>
  <c r="M980" i="1"/>
  <c r="O979" i="1" a="1"/>
  <c r="N979" i="1"/>
  <c r="M979" i="1"/>
  <c r="O978" i="1" a="1"/>
  <c r="N978" i="1"/>
  <c r="M978" i="1"/>
  <c r="O977" i="1" a="1"/>
  <c r="N977" i="1"/>
  <c r="M977" i="1"/>
  <c r="O976" i="1" a="1"/>
  <c r="N976" i="1"/>
  <c r="M976" i="1"/>
  <c r="O975" i="1" a="1"/>
  <c r="N975" i="1"/>
  <c r="M975" i="1"/>
  <c r="O974" i="1" a="1"/>
  <c r="N974" i="1"/>
  <c r="M974" i="1"/>
  <c r="O973" i="1" a="1"/>
  <c r="N973" i="1"/>
  <c r="M973" i="1"/>
  <c r="O972" i="1" a="1"/>
  <c r="N972" i="1"/>
  <c r="M972" i="1"/>
  <c r="O971" i="1" a="1"/>
  <c r="N971" i="1"/>
  <c r="M971" i="1"/>
  <c r="O970" i="1" a="1"/>
  <c r="N970" i="1"/>
  <c r="M970" i="1"/>
  <c r="O969" i="1" a="1"/>
  <c r="N969" i="1"/>
  <c r="M969" i="1"/>
  <c r="O968" i="1" a="1"/>
  <c r="N968" i="1"/>
  <c r="M968" i="1"/>
  <c r="O967" i="1" a="1"/>
  <c r="N967" i="1"/>
  <c r="M967" i="1"/>
  <c r="O966" i="1" a="1"/>
  <c r="N966" i="1"/>
  <c r="M966" i="1"/>
  <c r="O965" i="1" a="1"/>
  <c r="N965" i="1"/>
  <c r="M965" i="1"/>
  <c r="O964" i="1" a="1"/>
  <c r="N964" i="1"/>
  <c r="M964" i="1"/>
  <c r="O963" i="1" a="1"/>
  <c r="N963" i="1"/>
  <c r="M963" i="1"/>
  <c r="O962" i="1" a="1"/>
  <c r="N962" i="1"/>
  <c r="M962" i="1"/>
  <c r="O961" i="1" a="1"/>
  <c r="N961" i="1"/>
  <c r="M961" i="1"/>
  <c r="O960" i="1" a="1"/>
  <c r="N960" i="1"/>
  <c r="M960" i="1"/>
  <c r="O959" i="1" a="1"/>
  <c r="N959" i="1"/>
  <c r="M959" i="1"/>
  <c r="O958" i="1" a="1"/>
  <c r="N958" i="1"/>
  <c r="M958" i="1"/>
  <c r="O957" i="1" a="1"/>
  <c r="N957" i="1"/>
  <c r="M957" i="1"/>
  <c r="O956" i="1" a="1"/>
  <c r="N956" i="1"/>
  <c r="M956" i="1"/>
  <c r="O955" i="1" a="1"/>
  <c r="N955" i="1"/>
  <c r="M955" i="1"/>
  <c r="O954" i="1" a="1"/>
  <c r="N954" i="1"/>
  <c r="M954" i="1"/>
  <c r="O953" i="1" a="1"/>
  <c r="N953" i="1"/>
  <c r="M953" i="1"/>
  <c r="O952" i="1" a="1"/>
  <c r="N952" i="1"/>
  <c r="M952" i="1"/>
  <c r="O951" i="1" a="1"/>
  <c r="N951" i="1"/>
  <c r="M951" i="1"/>
  <c r="O950" i="1" a="1"/>
  <c r="N950" i="1"/>
  <c r="M950" i="1"/>
  <c r="O949" i="1" a="1"/>
  <c r="N949" i="1"/>
  <c r="M949" i="1"/>
  <c r="O948" i="1" a="1"/>
  <c r="N948" i="1"/>
  <c r="M948" i="1"/>
  <c r="O947" i="1" a="1"/>
  <c r="N947" i="1"/>
  <c r="M947" i="1"/>
  <c r="O946" i="1" a="1"/>
  <c r="N946" i="1"/>
  <c r="M946" i="1"/>
  <c r="O945" i="1" a="1"/>
  <c r="N945" i="1"/>
  <c r="M945" i="1"/>
  <c r="O944" i="1" a="1"/>
  <c r="N944" i="1"/>
  <c r="M944" i="1"/>
  <c r="O943" i="1" a="1"/>
  <c r="N943" i="1"/>
  <c r="M943" i="1"/>
  <c r="O942" i="1" a="1"/>
  <c r="N942" i="1"/>
  <c r="M942" i="1"/>
  <c r="O941" i="1" a="1"/>
  <c r="N941" i="1"/>
  <c r="M941" i="1"/>
  <c r="O940" i="1" a="1"/>
  <c r="N940" i="1"/>
  <c r="M940" i="1"/>
  <c r="O939" i="1" a="1"/>
  <c r="N939" i="1"/>
  <c r="M939" i="1"/>
  <c r="O938" i="1" a="1"/>
  <c r="N938" i="1"/>
  <c r="M938" i="1"/>
  <c r="O937" i="1" a="1"/>
  <c r="N937" i="1"/>
  <c r="M937" i="1"/>
  <c r="O936" i="1" a="1"/>
  <c r="N936" i="1"/>
  <c r="M936" i="1"/>
  <c r="O935" i="1" a="1"/>
  <c r="N935" i="1"/>
  <c r="M935" i="1"/>
  <c r="O934" i="1" a="1"/>
  <c r="N934" i="1"/>
  <c r="M934" i="1"/>
  <c r="O933" i="1" a="1"/>
  <c r="N933" i="1"/>
  <c r="M933" i="1"/>
  <c r="O932" i="1" a="1"/>
  <c r="N932" i="1"/>
  <c r="M932" i="1"/>
  <c r="O931" i="1" a="1"/>
  <c r="N931" i="1"/>
  <c r="M931" i="1"/>
  <c r="O930" i="1" a="1"/>
  <c r="N930" i="1"/>
  <c r="M930" i="1"/>
  <c r="O929" i="1" a="1"/>
  <c r="N929" i="1"/>
  <c r="M929" i="1"/>
  <c r="O928" i="1" a="1"/>
  <c r="N928" i="1"/>
  <c r="M928" i="1"/>
  <c r="O927" i="1" a="1"/>
  <c r="N927" i="1"/>
  <c r="M927" i="1"/>
  <c r="O926" i="1" a="1"/>
  <c r="N926" i="1"/>
  <c r="M926" i="1"/>
  <c r="O925" i="1" a="1"/>
  <c r="N925" i="1"/>
  <c r="M925" i="1"/>
  <c r="O924" i="1" a="1"/>
  <c r="N924" i="1"/>
  <c r="M924" i="1"/>
  <c r="O923" i="1" a="1"/>
  <c r="N923" i="1"/>
  <c r="M923" i="1"/>
  <c r="O922" i="1" a="1"/>
  <c r="N922" i="1"/>
  <c r="M922" i="1"/>
  <c r="O921" i="1" a="1"/>
  <c r="N921" i="1"/>
  <c r="M921" i="1"/>
  <c r="O920" i="1" a="1"/>
  <c r="N920" i="1"/>
  <c r="M920" i="1"/>
  <c r="O919" i="1" a="1"/>
  <c r="N919" i="1"/>
  <c r="M919" i="1"/>
  <c r="O918" i="1" a="1"/>
  <c r="N918" i="1"/>
  <c r="M918" i="1"/>
  <c r="O917" i="1" a="1"/>
  <c r="N917" i="1"/>
  <c r="M917" i="1"/>
  <c r="O916" i="1" a="1"/>
  <c r="N916" i="1"/>
  <c r="M916" i="1"/>
  <c r="O915" i="1" a="1"/>
  <c r="N915" i="1"/>
  <c r="M915" i="1"/>
  <c r="O914" i="1" a="1"/>
  <c r="N914" i="1"/>
  <c r="M914" i="1"/>
  <c r="O913" i="1" a="1"/>
  <c r="N913" i="1"/>
  <c r="M913" i="1"/>
  <c r="O912" i="1" a="1"/>
  <c r="N912" i="1"/>
  <c r="M912" i="1"/>
  <c r="O911" i="1" a="1"/>
  <c r="N911" i="1"/>
  <c r="M911" i="1"/>
  <c r="O910" i="1" a="1"/>
  <c r="N910" i="1"/>
  <c r="M910" i="1"/>
  <c r="O909" i="1" a="1"/>
  <c r="N909" i="1"/>
  <c r="M909" i="1"/>
  <c r="O908" i="1" a="1"/>
  <c r="N908" i="1"/>
  <c r="M908" i="1"/>
  <c r="O907" i="1" a="1"/>
  <c r="N907" i="1"/>
  <c r="M907" i="1"/>
  <c r="O906" i="1" a="1"/>
  <c r="N906" i="1"/>
  <c r="M906" i="1"/>
  <c r="O905" i="1" a="1"/>
  <c r="N905" i="1"/>
  <c r="M905" i="1"/>
  <c r="O904" i="1" a="1"/>
  <c r="N904" i="1"/>
  <c r="M904" i="1"/>
  <c r="O903" i="1" a="1"/>
  <c r="N903" i="1"/>
  <c r="M903" i="1"/>
  <c r="O902" i="1" a="1"/>
  <c r="N902" i="1"/>
  <c r="M902" i="1"/>
  <c r="O901" i="1" a="1"/>
  <c r="N901" i="1"/>
  <c r="M901" i="1"/>
  <c r="O900" i="1" a="1"/>
  <c r="N900" i="1"/>
  <c r="M900" i="1"/>
  <c r="O899" i="1" a="1"/>
  <c r="N899" i="1"/>
  <c r="M899" i="1"/>
  <c r="O898" i="1" a="1"/>
  <c r="N898" i="1"/>
  <c r="M898" i="1"/>
  <c r="O897" i="1" a="1"/>
  <c r="N897" i="1"/>
  <c r="M897" i="1"/>
  <c r="O896" i="1" a="1"/>
  <c r="N896" i="1"/>
  <c r="M896" i="1"/>
  <c r="O895" i="1" a="1"/>
  <c r="N895" i="1"/>
  <c r="M895" i="1"/>
  <c r="O894" i="1" a="1"/>
  <c r="N894" i="1"/>
  <c r="M894" i="1"/>
  <c r="O893" i="1" a="1"/>
  <c r="N893" i="1"/>
  <c r="M893" i="1"/>
  <c r="O892" i="1" a="1"/>
  <c r="N892" i="1"/>
  <c r="M892" i="1"/>
  <c r="O891" i="1" a="1"/>
  <c r="N891" i="1"/>
  <c r="M891" i="1"/>
  <c r="O890" i="1" a="1"/>
  <c r="N890" i="1"/>
  <c r="M890" i="1"/>
  <c r="O889" i="1" a="1"/>
  <c r="N889" i="1"/>
  <c r="M889" i="1"/>
  <c r="O888" i="1" a="1"/>
  <c r="N888" i="1"/>
  <c r="M888" i="1"/>
  <c r="O887" i="1" a="1"/>
  <c r="N887" i="1"/>
  <c r="M887" i="1"/>
  <c r="O886" i="1" a="1"/>
  <c r="N886" i="1"/>
  <c r="M886" i="1"/>
  <c r="O885" i="1" a="1"/>
  <c r="N885" i="1"/>
  <c r="M885" i="1"/>
  <c r="O884" i="1" a="1"/>
  <c r="N884" i="1"/>
  <c r="M884" i="1"/>
  <c r="O883" i="1" a="1"/>
  <c r="N883" i="1"/>
  <c r="M883" i="1"/>
  <c r="O882" i="1" a="1"/>
  <c r="N882" i="1"/>
  <c r="M882" i="1"/>
  <c r="O881" i="1" a="1"/>
  <c r="N881" i="1"/>
  <c r="M881" i="1"/>
  <c r="O880" i="1" a="1"/>
  <c r="N880" i="1"/>
  <c r="M880" i="1"/>
  <c r="O879" i="1" a="1"/>
  <c r="N879" i="1"/>
  <c r="M879" i="1"/>
  <c r="O878" i="1" a="1"/>
  <c r="N878" i="1"/>
  <c r="M878" i="1"/>
  <c r="O877" i="1" a="1"/>
  <c r="N877" i="1"/>
  <c r="M877" i="1"/>
  <c r="O876" i="1" a="1"/>
  <c r="N876" i="1"/>
  <c r="M876" i="1"/>
  <c r="O875" i="1" a="1"/>
  <c r="N875" i="1"/>
  <c r="M875" i="1"/>
  <c r="O874" i="1" a="1"/>
  <c r="N874" i="1"/>
  <c r="M874" i="1"/>
  <c r="O873" i="1" a="1"/>
  <c r="N873" i="1"/>
  <c r="M873" i="1"/>
  <c r="O872" i="1" a="1"/>
  <c r="N872" i="1"/>
  <c r="M872" i="1"/>
  <c r="O871" i="1" a="1"/>
  <c r="N871" i="1"/>
  <c r="M871" i="1"/>
  <c r="O870" i="1" a="1"/>
  <c r="N870" i="1"/>
  <c r="M870" i="1"/>
  <c r="O869" i="1" a="1"/>
  <c r="N869" i="1"/>
  <c r="M869" i="1"/>
  <c r="O868" i="1" a="1"/>
  <c r="N868" i="1"/>
  <c r="M868" i="1"/>
  <c r="O867" i="1" a="1"/>
  <c r="N867" i="1"/>
  <c r="M867" i="1"/>
  <c r="O866" i="1" a="1"/>
  <c r="N866" i="1"/>
  <c r="M866" i="1"/>
  <c r="O865" i="1" a="1"/>
  <c r="N865" i="1"/>
  <c r="M865" i="1"/>
  <c r="O864" i="1" a="1"/>
  <c r="N864" i="1"/>
  <c r="M864" i="1"/>
  <c r="O863" i="1" a="1"/>
  <c r="N863" i="1"/>
  <c r="M863" i="1"/>
  <c r="O862" i="1" a="1"/>
  <c r="N862" i="1"/>
  <c r="M862" i="1"/>
  <c r="O861" i="1" a="1"/>
  <c r="N861" i="1"/>
  <c r="M861" i="1"/>
  <c r="O860" i="1" a="1"/>
  <c r="N860" i="1"/>
  <c r="M860" i="1"/>
  <c r="O859" i="1" a="1"/>
  <c r="N859" i="1"/>
  <c r="M859" i="1"/>
  <c r="O858" i="1" a="1"/>
  <c r="N858" i="1"/>
  <c r="M858" i="1"/>
  <c r="O857" i="1" a="1"/>
  <c r="N857" i="1"/>
  <c r="M857" i="1"/>
  <c r="O856" i="1" a="1"/>
  <c r="N856" i="1"/>
  <c r="M856" i="1"/>
  <c r="O855" i="1" a="1"/>
  <c r="N855" i="1"/>
  <c r="M855" i="1"/>
  <c r="O854" i="1" a="1"/>
  <c r="N854" i="1"/>
  <c r="M854" i="1"/>
  <c r="O853" i="1" a="1"/>
  <c r="N853" i="1"/>
  <c r="M853" i="1"/>
  <c r="O852" i="1" a="1"/>
  <c r="N852" i="1"/>
  <c r="M852" i="1"/>
  <c r="O851" i="1" a="1"/>
  <c r="N851" i="1"/>
  <c r="M851" i="1"/>
  <c r="O850" i="1" a="1"/>
  <c r="N850" i="1"/>
  <c r="M850" i="1"/>
  <c r="O849" i="1" a="1"/>
  <c r="N849" i="1"/>
  <c r="M849" i="1"/>
  <c r="O848" i="1" a="1"/>
  <c r="N848" i="1"/>
  <c r="M848" i="1"/>
  <c r="O847" i="1" a="1"/>
  <c r="N847" i="1"/>
  <c r="M847" i="1"/>
  <c r="O846" i="1" a="1"/>
  <c r="N846" i="1"/>
  <c r="M846" i="1"/>
  <c r="O845" i="1" a="1"/>
  <c r="N845" i="1"/>
  <c r="M845" i="1"/>
  <c r="O844" i="1" a="1"/>
  <c r="N844" i="1"/>
  <c r="M844" i="1"/>
  <c r="O843" i="1" a="1"/>
  <c r="N843" i="1"/>
  <c r="M843" i="1"/>
  <c r="O842" i="1" a="1"/>
  <c r="N842" i="1"/>
  <c r="M842" i="1"/>
  <c r="O841" i="1" a="1"/>
  <c r="N841" i="1"/>
  <c r="M841" i="1"/>
  <c r="O840" i="1" a="1"/>
  <c r="N840" i="1"/>
  <c r="M840" i="1"/>
  <c r="O839" i="1" a="1"/>
  <c r="N839" i="1"/>
  <c r="M839" i="1"/>
  <c r="O838" i="1" a="1"/>
  <c r="N838" i="1"/>
  <c r="M838" i="1"/>
  <c r="O837" i="1" a="1"/>
  <c r="N837" i="1"/>
  <c r="M837" i="1"/>
  <c r="O836" i="1" a="1"/>
  <c r="N836" i="1"/>
  <c r="M836" i="1"/>
  <c r="O835" i="1" a="1"/>
  <c r="N835" i="1"/>
  <c r="M835" i="1"/>
  <c r="O834" i="1" a="1"/>
  <c r="N834" i="1"/>
  <c r="M834" i="1"/>
  <c r="O833" i="1" a="1"/>
  <c r="N833" i="1"/>
  <c r="M833" i="1"/>
  <c r="O832" i="1" a="1"/>
  <c r="N832" i="1"/>
  <c r="M832" i="1"/>
  <c r="O831" i="1" a="1"/>
  <c r="N831" i="1"/>
  <c r="M831" i="1"/>
  <c r="O830" i="1" a="1"/>
  <c r="N830" i="1"/>
  <c r="M830" i="1"/>
  <c r="O829" i="1" a="1"/>
  <c r="N829" i="1"/>
  <c r="M829" i="1"/>
  <c r="O828" i="1" a="1"/>
  <c r="N828" i="1"/>
  <c r="M828" i="1"/>
  <c r="O827" i="1" a="1"/>
  <c r="N827" i="1"/>
  <c r="M827" i="1"/>
  <c r="O826" i="1" a="1"/>
  <c r="N826" i="1"/>
  <c r="M826" i="1"/>
  <c r="O825" i="1" a="1"/>
  <c r="N825" i="1"/>
  <c r="M825" i="1"/>
  <c r="O824" i="1" a="1"/>
  <c r="N824" i="1"/>
  <c r="M824" i="1"/>
  <c r="O823" i="1" a="1"/>
  <c r="N823" i="1"/>
  <c r="M823" i="1"/>
  <c r="O822" i="1" a="1"/>
  <c r="N822" i="1"/>
  <c r="M822" i="1"/>
  <c r="O821" i="1" a="1"/>
  <c r="N821" i="1"/>
  <c r="M821" i="1"/>
  <c r="O820" i="1" a="1"/>
  <c r="N820" i="1"/>
  <c r="M820" i="1"/>
  <c r="O819" i="1" a="1"/>
  <c r="N819" i="1"/>
  <c r="M819" i="1"/>
  <c r="O818" i="1" a="1"/>
  <c r="N818" i="1"/>
  <c r="M818" i="1"/>
  <c r="O817" i="1" a="1"/>
  <c r="N817" i="1"/>
  <c r="M817" i="1"/>
  <c r="O816" i="1" a="1"/>
  <c r="N816" i="1"/>
  <c r="M816" i="1"/>
  <c r="O815" i="1" a="1"/>
  <c r="N815" i="1"/>
  <c r="M815" i="1"/>
  <c r="O814" i="1" a="1"/>
  <c r="N814" i="1"/>
  <c r="M814" i="1"/>
  <c r="O813" i="1" a="1"/>
  <c r="N813" i="1"/>
  <c r="M813" i="1"/>
  <c r="O812" i="1" a="1"/>
  <c r="N812" i="1"/>
  <c r="M812" i="1"/>
  <c r="O811" i="1" a="1"/>
  <c r="N811" i="1"/>
  <c r="M811" i="1"/>
  <c r="O810" i="1" a="1"/>
  <c r="N810" i="1"/>
  <c r="M810" i="1"/>
  <c r="O809" i="1" a="1"/>
  <c r="N809" i="1"/>
  <c r="M809" i="1"/>
  <c r="O808" i="1" a="1"/>
  <c r="N808" i="1"/>
  <c r="M808" i="1"/>
  <c r="O807" i="1" a="1"/>
  <c r="N807" i="1"/>
  <c r="M807" i="1"/>
  <c r="O806" i="1" a="1"/>
  <c r="N806" i="1"/>
  <c r="M806" i="1"/>
  <c r="O805" i="1" a="1"/>
  <c r="N805" i="1"/>
  <c r="M805" i="1"/>
  <c r="O804" i="1" a="1"/>
  <c r="N804" i="1"/>
  <c r="M804" i="1"/>
  <c r="O803" i="1" a="1"/>
  <c r="N803" i="1"/>
  <c r="M803" i="1"/>
  <c r="O802" i="1" a="1"/>
  <c r="N802" i="1"/>
  <c r="M802" i="1"/>
  <c r="O801" i="1" a="1"/>
  <c r="N801" i="1"/>
  <c r="M801" i="1"/>
  <c r="O800" i="1" a="1"/>
  <c r="N800" i="1"/>
  <c r="M800" i="1"/>
  <c r="O799" i="1" a="1"/>
  <c r="N799" i="1"/>
  <c r="M799" i="1"/>
  <c r="O798" i="1" a="1"/>
  <c r="N798" i="1"/>
  <c r="M798" i="1"/>
  <c r="O797" i="1" a="1"/>
  <c r="N797" i="1"/>
  <c r="M797" i="1"/>
  <c r="O796" i="1" a="1"/>
  <c r="N796" i="1"/>
  <c r="M796" i="1"/>
  <c r="O795" i="1" a="1"/>
  <c r="N795" i="1"/>
  <c r="M795" i="1"/>
  <c r="O794" i="1" a="1"/>
  <c r="N794" i="1"/>
  <c r="M794" i="1"/>
  <c r="O793" i="1" a="1"/>
  <c r="N793" i="1"/>
  <c r="M793" i="1"/>
  <c r="O792" i="1" a="1"/>
  <c r="N792" i="1"/>
  <c r="M792" i="1"/>
  <c r="O791" i="1" a="1"/>
  <c r="N791" i="1"/>
  <c r="M791" i="1"/>
  <c r="O790" i="1" a="1"/>
  <c r="N790" i="1"/>
  <c r="M790" i="1"/>
  <c r="O789" i="1" a="1"/>
  <c r="N789" i="1"/>
  <c r="M789" i="1"/>
  <c r="O788" i="1" a="1"/>
  <c r="N788" i="1"/>
  <c r="M788" i="1"/>
  <c r="O787" i="1" a="1"/>
  <c r="N787" i="1"/>
  <c r="M787" i="1"/>
  <c r="O786" i="1" a="1"/>
  <c r="N786" i="1"/>
  <c r="M786" i="1"/>
  <c r="O785" i="1" a="1"/>
  <c r="N785" i="1"/>
  <c r="M785" i="1"/>
  <c r="O784" i="1" a="1"/>
  <c r="N784" i="1"/>
  <c r="M784" i="1"/>
  <c r="O783" i="1" a="1"/>
  <c r="N783" i="1"/>
  <c r="M783" i="1"/>
  <c r="O782" i="1" a="1"/>
  <c r="N782" i="1"/>
  <c r="M782" i="1"/>
  <c r="O781" i="1" a="1"/>
  <c r="N781" i="1"/>
  <c r="M781" i="1"/>
  <c r="O780" i="1" a="1"/>
  <c r="N780" i="1"/>
  <c r="M780" i="1"/>
  <c r="O779" i="1" a="1"/>
  <c r="N779" i="1"/>
  <c r="M779" i="1"/>
  <c r="O778" i="1" a="1"/>
  <c r="N778" i="1"/>
  <c r="M778" i="1"/>
  <c r="O777" i="1" a="1"/>
  <c r="N777" i="1"/>
  <c r="M777" i="1"/>
  <c r="O776" i="1" a="1"/>
  <c r="N776" i="1"/>
  <c r="M776" i="1"/>
  <c r="O775" i="1" a="1"/>
  <c r="N775" i="1"/>
  <c r="M775" i="1"/>
  <c r="O774" i="1" a="1"/>
  <c r="N774" i="1"/>
  <c r="M774" i="1"/>
  <c r="O773" i="1" a="1"/>
  <c r="N773" i="1"/>
  <c r="M773" i="1"/>
  <c r="O772" i="1" a="1"/>
  <c r="N772" i="1"/>
  <c r="M772" i="1"/>
  <c r="O771" i="1" a="1"/>
  <c r="N771" i="1"/>
  <c r="M771" i="1"/>
  <c r="O770" i="1" a="1"/>
  <c r="N770" i="1"/>
  <c r="M770" i="1"/>
  <c r="O769" i="1" a="1"/>
  <c r="N769" i="1"/>
  <c r="M769" i="1"/>
  <c r="O768" i="1" a="1"/>
  <c r="N768" i="1"/>
  <c r="M768" i="1"/>
  <c r="O767" i="1" a="1"/>
  <c r="N767" i="1"/>
  <c r="M767" i="1"/>
  <c r="O766" i="1" a="1"/>
  <c r="N766" i="1"/>
  <c r="M766" i="1"/>
  <c r="O765" i="1" a="1"/>
  <c r="N765" i="1"/>
  <c r="M765" i="1"/>
  <c r="O764" i="1" a="1"/>
  <c r="N764" i="1"/>
  <c r="M764" i="1"/>
  <c r="O763" i="1" a="1"/>
  <c r="N763" i="1"/>
  <c r="M763" i="1"/>
  <c r="O762" i="1" a="1"/>
  <c r="N762" i="1"/>
  <c r="M762" i="1"/>
  <c r="O761" i="1" a="1"/>
  <c r="N761" i="1"/>
  <c r="M761" i="1"/>
  <c r="O760" i="1" a="1"/>
  <c r="N760" i="1"/>
  <c r="M760" i="1"/>
  <c r="O759" i="1" a="1"/>
  <c r="N759" i="1"/>
  <c r="M759" i="1"/>
  <c r="O758" i="1" a="1"/>
  <c r="N758" i="1"/>
  <c r="M758" i="1"/>
  <c r="O757" i="1" a="1"/>
  <c r="N757" i="1"/>
  <c r="M757" i="1"/>
  <c r="O756" i="1" a="1"/>
  <c r="N756" i="1"/>
  <c r="M756" i="1"/>
  <c r="O755" i="1" a="1"/>
  <c r="N755" i="1"/>
  <c r="M755" i="1"/>
  <c r="O754" i="1" a="1"/>
  <c r="N754" i="1"/>
  <c r="M754" i="1"/>
  <c r="O753" i="1" a="1"/>
  <c r="N753" i="1"/>
  <c r="M753" i="1"/>
  <c r="O752" i="1" a="1"/>
  <c r="N752" i="1"/>
  <c r="M752" i="1"/>
  <c r="O751" i="1" a="1"/>
  <c r="N751" i="1"/>
  <c r="M751" i="1"/>
  <c r="O750" i="1" a="1"/>
  <c r="N750" i="1"/>
  <c r="M750" i="1"/>
  <c r="O749" i="1" a="1"/>
  <c r="N749" i="1"/>
  <c r="M749" i="1"/>
  <c r="O748" i="1" a="1"/>
  <c r="N748" i="1"/>
  <c r="M748" i="1"/>
  <c r="O747" i="1" a="1"/>
  <c r="N747" i="1"/>
  <c r="M747" i="1"/>
  <c r="O746" i="1" a="1"/>
  <c r="N746" i="1"/>
  <c r="M746" i="1"/>
  <c r="O745" i="1" a="1"/>
  <c r="N745" i="1"/>
  <c r="M745" i="1"/>
  <c r="O744" i="1" a="1"/>
  <c r="N744" i="1"/>
  <c r="M744" i="1"/>
  <c r="O743" i="1" a="1"/>
  <c r="N743" i="1"/>
  <c r="M743" i="1"/>
  <c r="O742" i="1" a="1"/>
  <c r="N742" i="1"/>
  <c r="M742" i="1"/>
  <c r="O741" i="1" a="1"/>
  <c r="N741" i="1"/>
  <c r="M741" i="1"/>
  <c r="O740" i="1" a="1"/>
  <c r="N740" i="1"/>
  <c r="M740" i="1"/>
  <c r="O739" i="1" a="1"/>
  <c r="N739" i="1"/>
  <c r="M739" i="1"/>
  <c r="O738" i="1" a="1"/>
  <c r="N738" i="1"/>
  <c r="M738" i="1"/>
  <c r="O737" i="1" a="1"/>
  <c r="N737" i="1"/>
  <c r="M737" i="1"/>
  <c r="O736" i="1" a="1"/>
  <c r="N736" i="1"/>
  <c r="M736" i="1"/>
  <c r="O735" i="1" a="1"/>
  <c r="N735" i="1"/>
  <c r="M735" i="1"/>
  <c r="O734" i="1" a="1"/>
  <c r="N734" i="1"/>
  <c r="M734" i="1"/>
  <c r="O733" i="1" a="1"/>
  <c r="N733" i="1"/>
  <c r="M733" i="1"/>
  <c r="O732" i="1" a="1"/>
  <c r="N732" i="1"/>
  <c r="M732" i="1"/>
  <c r="O731" i="1" a="1"/>
  <c r="N731" i="1"/>
  <c r="M731" i="1"/>
  <c r="O730" i="1" a="1"/>
  <c r="N730" i="1"/>
  <c r="M730" i="1"/>
  <c r="O729" i="1" a="1"/>
  <c r="N729" i="1"/>
  <c r="M729" i="1"/>
  <c r="O728" i="1" a="1"/>
  <c r="N728" i="1"/>
  <c r="M728" i="1"/>
  <c r="O727" i="1" a="1"/>
  <c r="N727" i="1"/>
  <c r="M727" i="1"/>
  <c r="O726" i="1" a="1"/>
  <c r="N726" i="1"/>
  <c r="M726" i="1"/>
  <c r="O725" i="1" a="1"/>
  <c r="N725" i="1"/>
  <c r="M725" i="1"/>
  <c r="O724" i="1" a="1"/>
  <c r="N724" i="1"/>
  <c r="M724" i="1"/>
  <c r="O723" i="1" a="1"/>
  <c r="N723" i="1"/>
  <c r="M723" i="1"/>
  <c r="O722" i="1" a="1"/>
  <c r="N722" i="1"/>
  <c r="M722" i="1"/>
  <c r="O721" i="1" a="1"/>
  <c r="N721" i="1"/>
  <c r="M721" i="1"/>
  <c r="O720" i="1" a="1"/>
  <c r="N720" i="1"/>
  <c r="M720" i="1"/>
  <c r="O719" i="1" a="1"/>
  <c r="N719" i="1"/>
  <c r="M719" i="1"/>
  <c r="O718" i="1" a="1"/>
  <c r="N718" i="1"/>
  <c r="M718" i="1"/>
  <c r="O717" i="1" a="1"/>
  <c r="N717" i="1"/>
  <c r="M717" i="1"/>
  <c r="O716" i="1" a="1"/>
  <c r="N716" i="1"/>
  <c r="M716" i="1"/>
  <c r="O715" i="1" a="1"/>
  <c r="N715" i="1"/>
  <c r="M715" i="1"/>
  <c r="O714" i="1" a="1"/>
  <c r="N714" i="1"/>
  <c r="M714" i="1"/>
  <c r="O713" i="1" a="1"/>
  <c r="N713" i="1"/>
  <c r="M713" i="1"/>
  <c r="O712" i="1" a="1"/>
  <c r="N712" i="1"/>
  <c r="M712" i="1"/>
  <c r="O711" i="1" a="1"/>
  <c r="N711" i="1"/>
  <c r="M711" i="1"/>
  <c r="O710" i="1" a="1"/>
  <c r="N710" i="1"/>
  <c r="M710" i="1"/>
  <c r="O709" i="1" a="1"/>
  <c r="N709" i="1"/>
  <c r="M709" i="1"/>
  <c r="O708" i="1" a="1"/>
  <c r="N708" i="1"/>
  <c r="M708" i="1"/>
  <c r="O707" i="1" a="1"/>
  <c r="N707" i="1"/>
  <c r="M707" i="1"/>
  <c r="O706" i="1" a="1"/>
  <c r="N706" i="1"/>
  <c r="M706" i="1"/>
  <c r="O705" i="1" a="1"/>
  <c r="N705" i="1"/>
  <c r="M705" i="1"/>
  <c r="O704" i="1" a="1"/>
  <c r="N704" i="1"/>
  <c r="M704" i="1"/>
  <c r="O703" i="1" a="1"/>
  <c r="N703" i="1"/>
  <c r="M703" i="1"/>
  <c r="O702" i="1" a="1"/>
  <c r="N702" i="1"/>
  <c r="M702" i="1"/>
  <c r="O701" i="1" a="1"/>
  <c r="N701" i="1"/>
  <c r="M701" i="1"/>
  <c r="O700" i="1" a="1"/>
  <c r="N700" i="1"/>
  <c r="M700" i="1"/>
  <c r="O699" i="1" a="1"/>
  <c r="N699" i="1"/>
  <c r="M699" i="1"/>
  <c r="O698" i="1" a="1"/>
  <c r="N698" i="1"/>
  <c r="M698" i="1"/>
  <c r="O697" i="1" a="1"/>
  <c r="N697" i="1"/>
  <c r="M697" i="1"/>
  <c r="O696" i="1" a="1"/>
  <c r="N696" i="1"/>
  <c r="M696" i="1"/>
  <c r="O695" i="1" a="1"/>
  <c r="N695" i="1"/>
  <c r="M695" i="1"/>
  <c r="O694" i="1" a="1"/>
  <c r="N694" i="1"/>
  <c r="M694" i="1"/>
  <c r="O693" i="1" a="1"/>
  <c r="N693" i="1"/>
  <c r="M693" i="1"/>
  <c r="O692" i="1" a="1"/>
  <c r="N692" i="1"/>
  <c r="M692" i="1"/>
  <c r="O691" i="1" a="1"/>
  <c r="N691" i="1"/>
  <c r="M691" i="1"/>
  <c r="O690" i="1" a="1"/>
  <c r="N690" i="1"/>
  <c r="M690" i="1"/>
  <c r="O689" i="1" a="1"/>
  <c r="N689" i="1"/>
  <c r="M689" i="1"/>
  <c r="O688" i="1" a="1"/>
  <c r="N688" i="1"/>
  <c r="M688" i="1"/>
  <c r="O687" i="1" a="1"/>
  <c r="N687" i="1"/>
  <c r="M687" i="1"/>
  <c r="O686" i="1" a="1"/>
  <c r="N686" i="1"/>
  <c r="M686" i="1"/>
  <c r="O685" i="1" a="1"/>
  <c r="N685" i="1"/>
  <c r="M685" i="1"/>
  <c r="O684" i="1" a="1"/>
  <c r="N684" i="1"/>
  <c r="M684" i="1"/>
  <c r="O683" i="1" a="1"/>
  <c r="N683" i="1"/>
  <c r="M683" i="1"/>
  <c r="O682" i="1" a="1"/>
  <c r="N682" i="1"/>
  <c r="M682" i="1"/>
  <c r="O681" i="1" a="1"/>
  <c r="N681" i="1"/>
  <c r="M681" i="1"/>
  <c r="O680" i="1" a="1"/>
  <c r="N680" i="1"/>
  <c r="M680" i="1"/>
  <c r="O679" i="1" a="1"/>
  <c r="N679" i="1"/>
  <c r="M679" i="1"/>
  <c r="O678" i="1" a="1"/>
  <c r="N678" i="1"/>
  <c r="M678" i="1"/>
  <c r="O677" i="1" a="1"/>
  <c r="N677" i="1"/>
  <c r="M677" i="1"/>
  <c r="O676" i="1" a="1"/>
  <c r="N676" i="1"/>
  <c r="M676" i="1"/>
  <c r="O675" i="1" a="1"/>
  <c r="N675" i="1"/>
  <c r="M675" i="1"/>
  <c r="O674" i="1" a="1"/>
  <c r="N674" i="1"/>
  <c r="M674" i="1"/>
  <c r="O673" i="1" a="1"/>
  <c r="N673" i="1"/>
  <c r="M673" i="1"/>
  <c r="O672" i="1" a="1"/>
  <c r="N672" i="1"/>
  <c r="M672" i="1"/>
  <c r="O671" i="1" a="1"/>
  <c r="N671" i="1"/>
  <c r="M671" i="1"/>
  <c r="O670" i="1" a="1"/>
  <c r="N670" i="1"/>
  <c r="M670" i="1"/>
  <c r="O669" i="1" a="1"/>
  <c r="N669" i="1"/>
  <c r="M669" i="1"/>
  <c r="O668" i="1" a="1"/>
  <c r="N668" i="1"/>
  <c r="M668" i="1"/>
  <c r="O667" i="1" a="1"/>
  <c r="N667" i="1"/>
  <c r="M667" i="1"/>
  <c r="O666" i="1" a="1"/>
  <c r="N666" i="1"/>
  <c r="M666" i="1"/>
  <c r="O665" i="1" a="1"/>
  <c r="N665" i="1"/>
  <c r="M665" i="1"/>
  <c r="O664" i="1" a="1"/>
  <c r="N664" i="1"/>
  <c r="M664" i="1"/>
  <c r="O663" i="1" a="1"/>
  <c r="N663" i="1"/>
  <c r="M663" i="1"/>
  <c r="O662" i="1" a="1"/>
  <c r="N662" i="1"/>
  <c r="M662" i="1"/>
  <c r="O661" i="1" a="1"/>
  <c r="N661" i="1"/>
  <c r="M661" i="1"/>
  <c r="O660" i="1" a="1"/>
  <c r="N660" i="1"/>
  <c r="M660" i="1"/>
  <c r="O659" i="1" a="1"/>
  <c r="N659" i="1"/>
  <c r="M659" i="1"/>
  <c r="O658" i="1" a="1"/>
  <c r="N658" i="1"/>
  <c r="M658" i="1"/>
  <c r="O657" i="1" a="1"/>
  <c r="N657" i="1"/>
  <c r="M657" i="1"/>
  <c r="O656" i="1" a="1"/>
  <c r="N656" i="1"/>
  <c r="M656" i="1"/>
  <c r="O655" i="1" a="1"/>
  <c r="N655" i="1"/>
  <c r="M655" i="1"/>
  <c r="O654" i="1" a="1"/>
  <c r="N654" i="1"/>
  <c r="M654" i="1"/>
  <c r="O653" i="1" a="1"/>
  <c r="N653" i="1"/>
  <c r="M653" i="1"/>
  <c r="O652" i="1" a="1"/>
  <c r="N652" i="1"/>
  <c r="M652" i="1"/>
  <c r="O651" i="1" a="1"/>
  <c r="N651" i="1"/>
  <c r="M651" i="1"/>
  <c r="O650" i="1" a="1"/>
  <c r="N650" i="1"/>
  <c r="M650" i="1"/>
  <c r="O649" i="1" a="1"/>
  <c r="N649" i="1"/>
  <c r="M649" i="1"/>
  <c r="O648" i="1" a="1"/>
  <c r="N648" i="1"/>
  <c r="M648" i="1"/>
  <c r="O647" i="1" a="1"/>
  <c r="N647" i="1"/>
  <c r="M647" i="1"/>
  <c r="O646" i="1" a="1"/>
  <c r="N646" i="1"/>
  <c r="M646" i="1"/>
  <c r="O645" i="1" a="1"/>
  <c r="N645" i="1"/>
  <c r="M645" i="1"/>
  <c r="O644" i="1" a="1"/>
  <c r="N644" i="1"/>
  <c r="M644" i="1"/>
  <c r="O643" i="1" a="1"/>
  <c r="N643" i="1"/>
  <c r="M643" i="1"/>
  <c r="O642" i="1" a="1"/>
  <c r="N642" i="1"/>
  <c r="M642" i="1"/>
  <c r="O641" i="1" a="1"/>
  <c r="N641" i="1"/>
  <c r="M641" i="1"/>
  <c r="O640" i="1" a="1"/>
  <c r="N640" i="1"/>
  <c r="M640" i="1"/>
  <c r="O639" i="1" a="1"/>
  <c r="N639" i="1"/>
  <c r="M639" i="1"/>
  <c r="O638" i="1" a="1"/>
  <c r="N638" i="1"/>
  <c r="M638" i="1"/>
  <c r="O637" i="1" a="1"/>
  <c r="N637" i="1"/>
  <c r="M637" i="1"/>
  <c r="O636" i="1" a="1"/>
  <c r="N636" i="1"/>
  <c r="M636" i="1"/>
  <c r="O635" i="1" a="1"/>
  <c r="N635" i="1"/>
  <c r="M635" i="1"/>
  <c r="O634" i="1" a="1"/>
  <c r="N634" i="1"/>
  <c r="M634" i="1"/>
  <c r="O633" i="1" a="1"/>
  <c r="N633" i="1"/>
  <c r="M633" i="1"/>
  <c r="O632" i="1" a="1"/>
  <c r="N632" i="1"/>
  <c r="M632" i="1"/>
  <c r="O631" i="1" a="1"/>
  <c r="N631" i="1"/>
  <c r="M631" i="1"/>
  <c r="O630" i="1" a="1"/>
  <c r="N630" i="1"/>
  <c r="M630" i="1"/>
  <c r="O629" i="1" a="1"/>
  <c r="N629" i="1"/>
  <c r="M629" i="1"/>
  <c r="O628" i="1" a="1"/>
  <c r="N628" i="1"/>
  <c r="M628" i="1"/>
  <c r="O627" i="1" a="1"/>
  <c r="N627" i="1"/>
  <c r="M627" i="1"/>
  <c r="O626" i="1" a="1"/>
  <c r="N626" i="1"/>
  <c r="M626" i="1"/>
  <c r="O625" i="1" a="1"/>
  <c r="N625" i="1"/>
  <c r="M625" i="1"/>
  <c r="O624" i="1" a="1"/>
  <c r="N624" i="1"/>
  <c r="M624" i="1"/>
  <c r="O623" i="1" a="1"/>
  <c r="N623" i="1"/>
  <c r="M623" i="1"/>
  <c r="O622" i="1" a="1"/>
  <c r="N622" i="1"/>
  <c r="M622" i="1"/>
  <c r="O621" i="1" a="1"/>
  <c r="N621" i="1"/>
  <c r="M621" i="1"/>
  <c r="O620" i="1" a="1"/>
  <c r="N620" i="1"/>
  <c r="M620" i="1"/>
  <c r="O619" i="1" a="1"/>
  <c r="N619" i="1"/>
  <c r="M619" i="1"/>
  <c r="O618" i="1" a="1"/>
  <c r="N618" i="1"/>
  <c r="M618" i="1"/>
  <c r="O617" i="1" a="1"/>
  <c r="N617" i="1"/>
  <c r="M617" i="1"/>
  <c r="O616" i="1" a="1"/>
  <c r="N616" i="1"/>
  <c r="M616" i="1"/>
  <c r="O615" i="1" a="1"/>
  <c r="N615" i="1"/>
  <c r="M615" i="1"/>
  <c r="O614" i="1" a="1"/>
  <c r="N614" i="1"/>
  <c r="M614" i="1"/>
  <c r="O613" i="1" a="1"/>
  <c r="N613" i="1"/>
  <c r="M613" i="1"/>
  <c r="O612" i="1" a="1"/>
  <c r="N612" i="1"/>
  <c r="M612" i="1"/>
  <c r="O611" i="1" a="1"/>
  <c r="N611" i="1"/>
  <c r="M611" i="1"/>
  <c r="O610" i="1" a="1"/>
  <c r="N610" i="1"/>
  <c r="M610" i="1"/>
  <c r="O609" i="1" a="1"/>
  <c r="N609" i="1"/>
  <c r="M609" i="1"/>
  <c r="O608" i="1" a="1"/>
  <c r="N608" i="1"/>
  <c r="M608" i="1"/>
  <c r="O607" i="1" a="1"/>
  <c r="N607" i="1"/>
  <c r="M607" i="1"/>
  <c r="O606" i="1" a="1"/>
  <c r="N606" i="1"/>
  <c r="M606" i="1"/>
  <c r="O605" i="1" a="1"/>
  <c r="N605" i="1"/>
  <c r="M605" i="1"/>
  <c r="O604" i="1" a="1"/>
  <c r="N604" i="1"/>
  <c r="M604" i="1"/>
  <c r="O603" i="1" a="1"/>
  <c r="N603" i="1"/>
  <c r="M603" i="1"/>
  <c r="O602" i="1" a="1"/>
  <c r="N602" i="1"/>
  <c r="M602" i="1"/>
  <c r="O601" i="1" a="1"/>
  <c r="N601" i="1"/>
  <c r="M601" i="1"/>
  <c r="O600" i="1" a="1"/>
  <c r="N600" i="1"/>
  <c r="M600" i="1"/>
  <c r="O599" i="1" a="1"/>
  <c r="N599" i="1"/>
  <c r="M599" i="1"/>
  <c r="O598" i="1" a="1"/>
  <c r="N598" i="1"/>
  <c r="M598" i="1"/>
  <c r="O597" i="1" a="1"/>
  <c r="N597" i="1"/>
  <c r="M597" i="1"/>
  <c r="O596" i="1" a="1"/>
  <c r="N596" i="1"/>
  <c r="M596" i="1"/>
  <c r="O595" i="1" a="1"/>
  <c r="N595" i="1"/>
  <c r="M595" i="1"/>
  <c r="O594" i="1" a="1"/>
  <c r="N594" i="1"/>
  <c r="M594" i="1"/>
  <c r="O593" i="1" a="1"/>
  <c r="N593" i="1"/>
  <c r="M593" i="1"/>
  <c r="O592" i="1" a="1"/>
  <c r="N592" i="1"/>
  <c r="M592" i="1"/>
  <c r="O591" i="1" a="1"/>
  <c r="N591" i="1"/>
  <c r="M591" i="1"/>
  <c r="O590" i="1" a="1"/>
  <c r="N590" i="1"/>
  <c r="M590" i="1"/>
  <c r="O589" i="1" a="1"/>
  <c r="N589" i="1"/>
  <c r="M589" i="1"/>
  <c r="O588" i="1" a="1"/>
  <c r="N588" i="1"/>
  <c r="M588" i="1"/>
  <c r="O587" i="1" a="1"/>
  <c r="N587" i="1"/>
  <c r="M587" i="1"/>
  <c r="O586" i="1" a="1"/>
  <c r="N586" i="1"/>
  <c r="M586" i="1"/>
  <c r="O585" i="1" a="1"/>
  <c r="N585" i="1"/>
  <c r="M585" i="1"/>
  <c r="O584" i="1" a="1"/>
  <c r="N584" i="1"/>
  <c r="M584" i="1"/>
  <c r="O583" i="1" a="1"/>
  <c r="N583" i="1"/>
  <c r="M583" i="1"/>
  <c r="O582" i="1" a="1"/>
  <c r="N582" i="1"/>
  <c r="M582" i="1"/>
  <c r="O581" i="1" a="1"/>
  <c r="N581" i="1"/>
  <c r="M581" i="1"/>
  <c r="O580" i="1" a="1"/>
  <c r="N580" i="1"/>
  <c r="M580" i="1"/>
  <c r="O579" i="1" a="1"/>
  <c r="N579" i="1"/>
  <c r="M579" i="1"/>
  <c r="O578" i="1" a="1"/>
  <c r="N578" i="1"/>
  <c r="M578" i="1"/>
  <c r="O577" i="1" a="1"/>
  <c r="N577" i="1"/>
  <c r="M577" i="1"/>
  <c r="O576" i="1" a="1"/>
  <c r="N576" i="1"/>
  <c r="M576" i="1"/>
  <c r="O575" i="1" a="1"/>
  <c r="N575" i="1"/>
  <c r="M575" i="1"/>
  <c r="O574" i="1" a="1"/>
  <c r="N574" i="1"/>
  <c r="M574" i="1"/>
  <c r="O573" i="1" a="1"/>
  <c r="N573" i="1"/>
  <c r="M573" i="1"/>
  <c r="O572" i="1" a="1"/>
  <c r="N572" i="1"/>
  <c r="M572" i="1"/>
  <c r="O571" i="1" a="1"/>
  <c r="N571" i="1"/>
  <c r="M571" i="1"/>
  <c r="O570" i="1" a="1"/>
  <c r="N570" i="1"/>
  <c r="M570" i="1"/>
  <c r="O569" i="1" a="1"/>
  <c r="N569" i="1"/>
  <c r="M569" i="1"/>
  <c r="O568" i="1" a="1"/>
  <c r="N568" i="1"/>
  <c r="M568" i="1"/>
  <c r="O567" i="1" a="1"/>
  <c r="N567" i="1"/>
  <c r="M567" i="1"/>
  <c r="O566" i="1" a="1"/>
  <c r="N566" i="1"/>
  <c r="M566" i="1"/>
  <c r="O565" i="1" a="1"/>
  <c r="N565" i="1"/>
  <c r="M565" i="1"/>
  <c r="O564" i="1" a="1"/>
  <c r="N564" i="1"/>
  <c r="M564" i="1"/>
  <c r="O563" i="1" a="1"/>
  <c r="N563" i="1"/>
  <c r="M563" i="1"/>
  <c r="O562" i="1" a="1"/>
  <c r="N562" i="1"/>
  <c r="M562" i="1"/>
  <c r="O561" i="1" a="1"/>
  <c r="N561" i="1"/>
  <c r="M561" i="1"/>
  <c r="O560" i="1" a="1"/>
  <c r="N560" i="1"/>
  <c r="M560" i="1"/>
  <c r="O559" i="1" a="1"/>
  <c r="N559" i="1"/>
  <c r="M559" i="1"/>
  <c r="O558" i="1" a="1"/>
  <c r="N558" i="1"/>
  <c r="M558" i="1"/>
  <c r="O557" i="1" a="1"/>
  <c r="N557" i="1"/>
  <c r="M557" i="1"/>
  <c r="O556" i="1" a="1"/>
  <c r="N556" i="1"/>
  <c r="M556" i="1"/>
  <c r="O555" i="1" a="1"/>
  <c r="N555" i="1"/>
  <c r="M555" i="1"/>
  <c r="O554" i="1" a="1"/>
  <c r="N554" i="1"/>
  <c r="M554" i="1"/>
  <c r="O553" i="1" a="1"/>
  <c r="N553" i="1"/>
  <c r="M553" i="1"/>
  <c r="O552" i="1" a="1"/>
  <c r="N552" i="1"/>
  <c r="M552" i="1"/>
  <c r="O551" i="1" a="1"/>
  <c r="N551" i="1"/>
  <c r="M551" i="1"/>
  <c r="O550" i="1" a="1"/>
  <c r="N550" i="1"/>
  <c r="M550" i="1"/>
  <c r="O549" i="1" a="1"/>
  <c r="N549" i="1"/>
  <c r="M549" i="1"/>
  <c r="O548" i="1" a="1"/>
  <c r="N548" i="1"/>
  <c r="M548" i="1"/>
  <c r="O547" i="1" a="1"/>
  <c r="N547" i="1"/>
  <c r="M547" i="1"/>
  <c r="O546" i="1" a="1"/>
  <c r="N546" i="1"/>
  <c r="M546" i="1"/>
  <c r="O545" i="1" a="1"/>
  <c r="N545" i="1"/>
  <c r="M545" i="1"/>
  <c r="O544" i="1" a="1"/>
  <c r="N544" i="1"/>
  <c r="M544" i="1"/>
  <c r="O543" i="1" a="1"/>
  <c r="N543" i="1"/>
  <c r="M543" i="1"/>
  <c r="O542" i="1" a="1"/>
  <c r="N542" i="1"/>
  <c r="M542" i="1"/>
  <c r="O541" i="1" a="1"/>
  <c r="N541" i="1"/>
  <c r="M541" i="1"/>
  <c r="O540" i="1" a="1"/>
  <c r="N540" i="1"/>
  <c r="M540" i="1"/>
  <c r="O539" i="1" a="1"/>
  <c r="N539" i="1"/>
  <c r="M539" i="1"/>
  <c r="O538" i="1" a="1"/>
  <c r="N538" i="1"/>
  <c r="M538" i="1"/>
  <c r="O537" i="1" a="1"/>
  <c r="N537" i="1"/>
  <c r="M537" i="1"/>
  <c r="O536" i="1" a="1"/>
  <c r="N536" i="1"/>
  <c r="M536" i="1"/>
  <c r="O535" i="1" a="1"/>
  <c r="N535" i="1"/>
  <c r="M535" i="1"/>
  <c r="O534" i="1" a="1"/>
  <c r="N534" i="1"/>
  <c r="M534" i="1"/>
  <c r="O533" i="1" a="1"/>
  <c r="N533" i="1"/>
  <c r="M533" i="1"/>
  <c r="O532" i="1" a="1"/>
  <c r="N532" i="1"/>
  <c r="M532" i="1"/>
  <c r="O531" i="1" a="1"/>
  <c r="N531" i="1"/>
  <c r="M531" i="1"/>
  <c r="O530" i="1" a="1"/>
  <c r="N530" i="1"/>
  <c r="M530" i="1"/>
  <c r="O529" i="1" a="1"/>
  <c r="N529" i="1"/>
  <c r="M529" i="1"/>
  <c r="O528" i="1" a="1"/>
  <c r="N528" i="1"/>
  <c r="M528" i="1"/>
  <c r="O527" i="1" a="1"/>
  <c r="N527" i="1"/>
  <c r="M527" i="1"/>
  <c r="O526" i="1" a="1"/>
  <c r="N526" i="1"/>
  <c r="M526" i="1"/>
  <c r="O525" i="1" a="1"/>
  <c r="N525" i="1"/>
  <c r="M525" i="1"/>
  <c r="O524" i="1" a="1"/>
  <c r="N524" i="1"/>
  <c r="M524" i="1"/>
  <c r="O523" i="1" a="1"/>
  <c r="N523" i="1"/>
  <c r="M523" i="1"/>
  <c r="O522" i="1" a="1"/>
  <c r="N522" i="1"/>
  <c r="M522" i="1"/>
  <c r="O521" i="1" a="1"/>
  <c r="N521" i="1"/>
  <c r="M521" i="1"/>
  <c r="O520" i="1" a="1"/>
  <c r="N520" i="1"/>
  <c r="M520" i="1"/>
  <c r="O519" i="1" a="1"/>
  <c r="N519" i="1"/>
  <c r="M519" i="1"/>
  <c r="O518" i="1" a="1"/>
  <c r="N518" i="1"/>
  <c r="M518" i="1"/>
  <c r="O517" i="1" a="1"/>
  <c r="N517" i="1"/>
  <c r="M517" i="1"/>
  <c r="O516" i="1" a="1"/>
  <c r="N516" i="1"/>
  <c r="M516" i="1"/>
  <c r="O515" i="1" a="1"/>
  <c r="N515" i="1"/>
  <c r="M515" i="1"/>
  <c r="O514" i="1" a="1"/>
  <c r="N514" i="1"/>
  <c r="M514" i="1"/>
  <c r="O513" i="1" a="1"/>
  <c r="N513" i="1"/>
  <c r="M513" i="1"/>
  <c r="O512" i="1" a="1"/>
  <c r="N512" i="1"/>
  <c r="M512" i="1"/>
  <c r="O511" i="1" a="1"/>
  <c r="N511" i="1"/>
  <c r="M511" i="1"/>
  <c r="O510" i="1" a="1"/>
  <c r="N510" i="1"/>
  <c r="M510" i="1"/>
  <c r="O509" i="1" a="1"/>
  <c r="N509" i="1"/>
  <c r="M509" i="1"/>
  <c r="O508" i="1" a="1"/>
  <c r="N508" i="1"/>
  <c r="M508" i="1"/>
  <c r="O507" i="1" a="1"/>
  <c r="N507" i="1"/>
  <c r="M507" i="1"/>
  <c r="O506" i="1" a="1"/>
  <c r="N506" i="1"/>
  <c r="M506" i="1"/>
  <c r="O505" i="1" a="1"/>
  <c r="N505" i="1"/>
  <c r="M505" i="1"/>
  <c r="O504" i="1" a="1"/>
  <c r="N504" i="1"/>
  <c r="M504" i="1"/>
  <c r="O503" i="1" a="1"/>
  <c r="N503" i="1"/>
  <c r="M503" i="1"/>
  <c r="O502" i="1" a="1"/>
  <c r="N502" i="1"/>
  <c r="M502" i="1"/>
  <c r="O501" i="1" a="1"/>
  <c r="N501" i="1"/>
  <c r="M501" i="1"/>
  <c r="O500" i="1" a="1"/>
  <c r="N500" i="1"/>
  <c r="M500" i="1"/>
  <c r="O499" i="1" a="1"/>
  <c r="N499" i="1"/>
  <c r="M499" i="1"/>
  <c r="O498" i="1" a="1"/>
  <c r="N498" i="1"/>
  <c r="M498" i="1"/>
  <c r="O497" i="1" a="1"/>
  <c r="N497" i="1"/>
  <c r="M497" i="1"/>
  <c r="O496" i="1" a="1"/>
  <c r="N496" i="1"/>
  <c r="M496" i="1"/>
  <c r="O495" i="1" a="1"/>
  <c r="N495" i="1"/>
  <c r="M495" i="1"/>
  <c r="O494" i="1" a="1"/>
  <c r="N494" i="1"/>
  <c r="M494" i="1"/>
  <c r="O493" i="1" a="1"/>
  <c r="N493" i="1"/>
  <c r="M493" i="1"/>
  <c r="O492" i="1" a="1"/>
  <c r="N492" i="1"/>
  <c r="M492" i="1"/>
  <c r="O491" i="1" a="1"/>
  <c r="N491" i="1"/>
  <c r="M491" i="1"/>
  <c r="O490" i="1" a="1"/>
  <c r="N490" i="1"/>
  <c r="M490" i="1"/>
  <c r="O489" i="1" a="1"/>
  <c r="N489" i="1"/>
  <c r="M489" i="1"/>
  <c r="O488" i="1" a="1"/>
  <c r="N488" i="1"/>
  <c r="M488" i="1"/>
  <c r="O487" i="1" a="1"/>
  <c r="N487" i="1"/>
  <c r="M487" i="1"/>
  <c r="O486" i="1" a="1"/>
  <c r="N486" i="1"/>
  <c r="M486" i="1"/>
  <c r="O485" i="1" a="1"/>
  <c r="N485" i="1"/>
  <c r="M485" i="1"/>
  <c r="O484" i="1" a="1"/>
  <c r="N484" i="1"/>
  <c r="M484" i="1"/>
  <c r="O483" i="1" a="1"/>
  <c r="N483" i="1"/>
  <c r="M483" i="1"/>
  <c r="O482" i="1" a="1"/>
  <c r="N482" i="1"/>
  <c r="M482" i="1"/>
  <c r="O481" i="1" a="1"/>
  <c r="N481" i="1"/>
  <c r="M481" i="1"/>
  <c r="O480" i="1" a="1"/>
  <c r="N480" i="1"/>
  <c r="M480" i="1"/>
  <c r="O479" i="1" a="1"/>
  <c r="N479" i="1"/>
  <c r="M479" i="1"/>
  <c r="O478" i="1" a="1"/>
  <c r="N478" i="1"/>
  <c r="M478" i="1"/>
  <c r="O477" i="1" a="1"/>
  <c r="N477" i="1"/>
  <c r="M477" i="1"/>
  <c r="O476" i="1" a="1"/>
  <c r="N476" i="1"/>
  <c r="M476" i="1"/>
  <c r="O475" i="1" a="1"/>
  <c r="N475" i="1"/>
  <c r="M475" i="1"/>
  <c r="O474" i="1" a="1"/>
  <c r="N474" i="1"/>
  <c r="M474" i="1"/>
  <c r="O473" i="1" a="1"/>
  <c r="N473" i="1"/>
  <c r="M473" i="1"/>
  <c r="O472" i="1" a="1"/>
  <c r="N472" i="1"/>
  <c r="M472" i="1"/>
  <c r="O471" i="1" a="1"/>
  <c r="N471" i="1"/>
  <c r="M471" i="1"/>
  <c r="O470" i="1" a="1"/>
  <c r="N470" i="1"/>
  <c r="M470" i="1"/>
  <c r="O469" i="1" a="1"/>
  <c r="N469" i="1"/>
  <c r="M469" i="1"/>
  <c r="O468" i="1" a="1"/>
  <c r="N468" i="1"/>
  <c r="M468" i="1"/>
  <c r="O467" i="1" a="1"/>
  <c r="N467" i="1"/>
  <c r="M467" i="1"/>
  <c r="O466" i="1" a="1"/>
  <c r="N466" i="1"/>
  <c r="M466" i="1"/>
  <c r="O465" i="1" a="1"/>
  <c r="N465" i="1"/>
  <c r="M465" i="1"/>
  <c r="O464" i="1" a="1"/>
  <c r="N464" i="1"/>
  <c r="M464" i="1"/>
  <c r="O463" i="1" a="1"/>
  <c r="N463" i="1"/>
  <c r="M463" i="1"/>
  <c r="O462" i="1" a="1"/>
  <c r="N462" i="1"/>
  <c r="M462" i="1"/>
  <c r="O461" i="1" a="1"/>
  <c r="N461" i="1"/>
  <c r="M461" i="1"/>
  <c r="O460" i="1" a="1"/>
  <c r="N460" i="1"/>
  <c r="M460" i="1"/>
  <c r="O459" i="1" a="1"/>
  <c r="N459" i="1"/>
  <c r="M459" i="1"/>
  <c r="O458" i="1" a="1"/>
  <c r="N458" i="1"/>
  <c r="M458" i="1"/>
  <c r="O457" i="1" a="1"/>
  <c r="N457" i="1"/>
  <c r="M457" i="1"/>
  <c r="O456" i="1" a="1"/>
  <c r="N456" i="1"/>
  <c r="M456" i="1"/>
  <c r="O455" i="1" a="1"/>
  <c r="N455" i="1"/>
  <c r="M455" i="1"/>
  <c r="O454" i="1" a="1"/>
  <c r="N454" i="1"/>
  <c r="M454" i="1"/>
  <c r="O453" i="1" a="1"/>
  <c r="N453" i="1"/>
  <c r="M453" i="1"/>
  <c r="O452" i="1" a="1"/>
  <c r="N452" i="1"/>
  <c r="M452" i="1"/>
  <c r="O451" i="1" a="1"/>
  <c r="N451" i="1"/>
  <c r="M451" i="1"/>
  <c r="O450" i="1" a="1"/>
  <c r="N450" i="1"/>
  <c r="M450" i="1"/>
  <c r="O449" i="1" a="1"/>
  <c r="N449" i="1"/>
  <c r="M449" i="1"/>
  <c r="O448" i="1" a="1"/>
  <c r="N448" i="1"/>
  <c r="M448" i="1"/>
  <c r="O447" i="1" a="1"/>
  <c r="N447" i="1"/>
  <c r="M447" i="1"/>
  <c r="O446" i="1" a="1"/>
  <c r="N446" i="1"/>
  <c r="M446" i="1"/>
  <c r="O445" i="1" a="1"/>
  <c r="N445" i="1"/>
  <c r="M445" i="1"/>
  <c r="O444" i="1" a="1"/>
  <c r="N444" i="1"/>
  <c r="M444" i="1"/>
  <c r="O443" i="1" a="1"/>
  <c r="N443" i="1"/>
  <c r="M443" i="1"/>
  <c r="O442" i="1" a="1"/>
  <c r="N442" i="1"/>
  <c r="M442" i="1"/>
  <c r="O441" i="1" a="1"/>
  <c r="N441" i="1"/>
  <c r="M441" i="1"/>
  <c r="O440" i="1" a="1"/>
  <c r="N440" i="1"/>
  <c r="M440" i="1"/>
  <c r="O439" i="1" a="1"/>
  <c r="N439" i="1"/>
  <c r="M439" i="1"/>
  <c r="O438" i="1" a="1"/>
  <c r="N438" i="1"/>
  <c r="M438" i="1"/>
  <c r="O437" i="1" a="1"/>
  <c r="N437" i="1"/>
  <c r="M437" i="1"/>
  <c r="O436" i="1" a="1"/>
  <c r="N436" i="1"/>
  <c r="M436" i="1"/>
  <c r="O435" i="1" a="1"/>
  <c r="N435" i="1"/>
  <c r="M435" i="1"/>
  <c r="O434" i="1" a="1"/>
  <c r="N434" i="1"/>
  <c r="M434" i="1"/>
  <c r="O433" i="1" a="1"/>
  <c r="N433" i="1"/>
  <c r="M433" i="1"/>
  <c r="O432" i="1" a="1"/>
  <c r="N432" i="1"/>
  <c r="M432" i="1"/>
  <c r="O431" i="1" a="1"/>
  <c r="N431" i="1"/>
  <c r="M431" i="1"/>
  <c r="O430" i="1" a="1"/>
  <c r="N430" i="1"/>
  <c r="M430" i="1"/>
  <c r="O429" i="1" a="1"/>
  <c r="N429" i="1"/>
  <c r="M429" i="1"/>
  <c r="O428" i="1" a="1"/>
  <c r="N428" i="1"/>
  <c r="M428" i="1"/>
  <c r="O427" i="1" a="1"/>
  <c r="N427" i="1"/>
  <c r="M427" i="1"/>
  <c r="O426" i="1" a="1"/>
  <c r="N426" i="1"/>
  <c r="M426" i="1"/>
  <c r="O425" i="1" a="1"/>
  <c r="N425" i="1"/>
  <c r="M425" i="1"/>
  <c r="O424" i="1" a="1"/>
  <c r="N424" i="1"/>
  <c r="M424" i="1"/>
  <c r="O423" i="1" a="1"/>
  <c r="N423" i="1"/>
  <c r="M423" i="1"/>
  <c r="O422" i="1" a="1"/>
  <c r="N422" i="1"/>
  <c r="M422" i="1"/>
  <c r="O421" i="1" a="1"/>
  <c r="N421" i="1"/>
  <c r="M421" i="1"/>
  <c r="O420" i="1" a="1"/>
  <c r="N420" i="1"/>
  <c r="M420" i="1"/>
  <c r="O419" i="1" a="1"/>
  <c r="N419" i="1"/>
  <c r="M419" i="1"/>
  <c r="O418" i="1" a="1"/>
  <c r="N418" i="1"/>
  <c r="M418" i="1"/>
  <c r="O417" i="1" a="1"/>
  <c r="N417" i="1"/>
  <c r="M417" i="1"/>
  <c r="O416" i="1" a="1"/>
  <c r="N416" i="1"/>
  <c r="M416" i="1"/>
  <c r="O415" i="1" a="1"/>
  <c r="N415" i="1"/>
  <c r="M415" i="1"/>
  <c r="O414" i="1" a="1"/>
  <c r="N414" i="1"/>
  <c r="M414" i="1"/>
  <c r="O413" i="1" a="1"/>
  <c r="N413" i="1"/>
  <c r="M413" i="1"/>
  <c r="O412" i="1" a="1"/>
  <c r="N412" i="1"/>
  <c r="M412" i="1"/>
  <c r="O411" i="1" a="1"/>
  <c r="N411" i="1"/>
  <c r="M411" i="1"/>
  <c r="O410" i="1" a="1"/>
  <c r="N410" i="1"/>
  <c r="M410" i="1"/>
  <c r="O409" i="1" a="1"/>
  <c r="N409" i="1"/>
  <c r="M409" i="1"/>
  <c r="O408" i="1" a="1"/>
  <c r="N408" i="1"/>
  <c r="M408" i="1"/>
  <c r="O407" i="1" a="1"/>
  <c r="N407" i="1"/>
  <c r="M407" i="1"/>
  <c r="O406" i="1" a="1"/>
  <c r="N406" i="1"/>
  <c r="M406" i="1"/>
  <c r="O405" i="1" a="1"/>
  <c r="N405" i="1"/>
  <c r="M405" i="1"/>
  <c r="O404" i="1" a="1"/>
  <c r="N404" i="1"/>
  <c r="M404" i="1"/>
  <c r="O403" i="1" a="1"/>
  <c r="N403" i="1"/>
  <c r="M403" i="1"/>
  <c r="O402" i="1" a="1"/>
  <c r="N402" i="1"/>
  <c r="M402" i="1"/>
  <c r="O401" i="1" a="1"/>
  <c r="N401" i="1"/>
  <c r="M401" i="1"/>
  <c r="O400" i="1" a="1"/>
  <c r="N400" i="1"/>
  <c r="M400" i="1"/>
  <c r="O399" i="1" a="1"/>
  <c r="N399" i="1"/>
  <c r="M399" i="1"/>
  <c r="O398" i="1" a="1"/>
  <c r="N398" i="1"/>
  <c r="M398" i="1"/>
  <c r="O397" i="1" a="1"/>
  <c r="N397" i="1"/>
  <c r="M397" i="1"/>
  <c r="O396" i="1" a="1"/>
  <c r="N396" i="1"/>
  <c r="M396" i="1"/>
  <c r="O395" i="1" a="1"/>
  <c r="N395" i="1"/>
  <c r="M395" i="1"/>
  <c r="O394" i="1" a="1"/>
  <c r="N394" i="1"/>
  <c r="M394" i="1"/>
  <c r="O393" i="1" a="1"/>
  <c r="N393" i="1"/>
  <c r="M393" i="1"/>
  <c r="O392" i="1" a="1"/>
  <c r="N392" i="1"/>
  <c r="M392" i="1"/>
  <c r="O391" i="1" a="1"/>
  <c r="N391" i="1"/>
  <c r="M391" i="1"/>
  <c r="O390" i="1" a="1"/>
  <c r="N390" i="1"/>
  <c r="M390" i="1"/>
  <c r="O389" i="1" a="1"/>
  <c r="N389" i="1"/>
  <c r="M389" i="1"/>
  <c r="O388" i="1" a="1"/>
  <c r="N388" i="1"/>
  <c r="M388" i="1"/>
  <c r="O387" i="1" a="1"/>
  <c r="N387" i="1"/>
  <c r="M387" i="1"/>
  <c r="O386" i="1" a="1"/>
  <c r="N386" i="1"/>
  <c r="M386" i="1"/>
  <c r="O385" i="1" a="1"/>
  <c r="N385" i="1"/>
  <c r="M385" i="1"/>
  <c r="O384" i="1" a="1"/>
  <c r="N384" i="1"/>
  <c r="M384" i="1"/>
  <c r="O383" i="1" a="1"/>
  <c r="N383" i="1"/>
  <c r="M383" i="1"/>
  <c r="O382" i="1" a="1"/>
  <c r="N382" i="1"/>
  <c r="M382" i="1"/>
  <c r="O381" i="1" a="1"/>
  <c r="N381" i="1"/>
  <c r="M381" i="1"/>
  <c r="O380" i="1" a="1"/>
  <c r="N380" i="1"/>
  <c r="M380" i="1"/>
  <c r="O379" i="1" a="1"/>
  <c r="N379" i="1"/>
  <c r="M379" i="1"/>
  <c r="O378" i="1" a="1"/>
  <c r="N378" i="1"/>
  <c r="M378" i="1"/>
  <c r="O377" i="1" a="1"/>
  <c r="N377" i="1"/>
  <c r="M377" i="1"/>
  <c r="O376" i="1" a="1"/>
  <c r="N376" i="1"/>
  <c r="M376" i="1"/>
  <c r="O375" i="1" a="1"/>
  <c r="N375" i="1"/>
  <c r="M375" i="1"/>
  <c r="O374" i="1" a="1"/>
  <c r="N374" i="1"/>
  <c r="M374" i="1"/>
  <c r="O373" i="1" a="1"/>
  <c r="N373" i="1"/>
  <c r="M373" i="1"/>
  <c r="O372" i="1" a="1"/>
  <c r="N372" i="1"/>
  <c r="M372" i="1"/>
  <c r="O371" i="1" a="1"/>
  <c r="N371" i="1"/>
  <c r="M371" i="1"/>
  <c r="O370" i="1" a="1"/>
  <c r="N370" i="1"/>
  <c r="M370" i="1"/>
  <c r="O369" i="1" a="1"/>
  <c r="N369" i="1"/>
  <c r="M369" i="1"/>
  <c r="O368" i="1" a="1"/>
  <c r="N368" i="1"/>
  <c r="M368" i="1"/>
  <c r="O367" i="1" a="1"/>
  <c r="N367" i="1"/>
  <c r="M367" i="1"/>
  <c r="O366" i="1" a="1"/>
  <c r="N366" i="1"/>
  <c r="M366" i="1"/>
  <c r="O365" i="1" a="1"/>
  <c r="N365" i="1"/>
  <c r="M365" i="1"/>
  <c r="O364" i="1" a="1"/>
  <c r="N364" i="1"/>
  <c r="M364" i="1"/>
  <c r="O363" i="1" a="1"/>
  <c r="N363" i="1"/>
  <c r="M363" i="1"/>
  <c r="O362" i="1" a="1"/>
  <c r="N362" i="1"/>
  <c r="M362" i="1"/>
  <c r="O361" i="1" a="1"/>
  <c r="N361" i="1"/>
  <c r="M361" i="1"/>
  <c r="O360" i="1" a="1"/>
  <c r="N360" i="1"/>
  <c r="M360" i="1"/>
  <c r="O359" i="1" a="1"/>
  <c r="N359" i="1"/>
  <c r="M359" i="1"/>
  <c r="O358" i="1" a="1"/>
  <c r="N358" i="1"/>
  <c r="M358" i="1"/>
  <c r="O357" i="1" a="1"/>
  <c r="N357" i="1"/>
  <c r="M357" i="1"/>
  <c r="O356" i="1" a="1"/>
  <c r="N356" i="1"/>
  <c r="M356" i="1"/>
  <c r="O355" i="1" a="1"/>
  <c r="N355" i="1"/>
  <c r="M355" i="1"/>
  <c r="O354" i="1" a="1"/>
  <c r="N354" i="1"/>
  <c r="M354" i="1"/>
  <c r="O353" i="1" a="1"/>
  <c r="N353" i="1"/>
  <c r="M353" i="1"/>
  <c r="O352" i="1" a="1"/>
  <c r="N352" i="1"/>
  <c r="M352" i="1"/>
  <c r="O351" i="1" a="1"/>
  <c r="N351" i="1"/>
  <c r="M351" i="1"/>
  <c r="O350" i="1" a="1"/>
  <c r="N350" i="1"/>
  <c r="M350" i="1"/>
  <c r="O349" i="1" a="1"/>
  <c r="N349" i="1"/>
  <c r="M349" i="1"/>
  <c r="O348" i="1" a="1"/>
  <c r="N348" i="1"/>
  <c r="M348" i="1"/>
  <c r="O347" i="1" a="1"/>
  <c r="N347" i="1"/>
  <c r="M347" i="1"/>
  <c r="O346" i="1" a="1"/>
  <c r="N346" i="1"/>
  <c r="M346" i="1"/>
  <c r="O345" i="1" a="1"/>
  <c r="N345" i="1"/>
  <c r="M345" i="1"/>
  <c r="O344" i="1" a="1"/>
  <c r="N344" i="1"/>
  <c r="M344" i="1"/>
  <c r="O343" i="1" a="1"/>
  <c r="N343" i="1"/>
  <c r="M343" i="1"/>
  <c r="O342" i="1" a="1"/>
  <c r="N342" i="1"/>
  <c r="M342" i="1"/>
  <c r="O341" i="1" a="1"/>
  <c r="N341" i="1"/>
  <c r="M341" i="1"/>
  <c r="O340" i="1" a="1"/>
  <c r="N340" i="1"/>
  <c r="M340" i="1"/>
  <c r="O339" i="1" a="1"/>
  <c r="N339" i="1"/>
  <c r="M339" i="1"/>
  <c r="O338" i="1" a="1"/>
  <c r="N338" i="1"/>
  <c r="M338" i="1"/>
  <c r="O337" i="1" a="1"/>
  <c r="N337" i="1"/>
  <c r="M337" i="1"/>
  <c r="O336" i="1" a="1"/>
  <c r="N336" i="1"/>
  <c r="M336" i="1"/>
  <c r="O335" i="1" a="1"/>
  <c r="N335" i="1"/>
  <c r="M335" i="1"/>
  <c r="O334" i="1" a="1"/>
  <c r="N334" i="1"/>
  <c r="M334" i="1"/>
  <c r="O333" i="1" a="1"/>
  <c r="N333" i="1"/>
  <c r="M333" i="1"/>
  <c r="O332" i="1" a="1"/>
  <c r="N332" i="1"/>
  <c r="M332" i="1"/>
  <c r="O331" i="1" a="1"/>
  <c r="N331" i="1"/>
  <c r="M331" i="1"/>
  <c r="O330" i="1" a="1"/>
  <c r="N330" i="1"/>
  <c r="M330" i="1"/>
  <c r="O329" i="1" a="1"/>
  <c r="N329" i="1"/>
  <c r="M329" i="1"/>
  <c r="O328" i="1" a="1"/>
  <c r="N328" i="1"/>
  <c r="M328" i="1"/>
  <c r="O327" i="1" a="1"/>
  <c r="N327" i="1"/>
  <c r="M327" i="1"/>
  <c r="O326" i="1" a="1"/>
  <c r="N326" i="1"/>
  <c r="M326" i="1"/>
  <c r="O325" i="1" a="1"/>
  <c r="N325" i="1"/>
  <c r="M325" i="1"/>
  <c r="O324" i="1" a="1"/>
  <c r="N324" i="1"/>
  <c r="M324" i="1"/>
  <c r="O323" i="1" a="1"/>
  <c r="N323" i="1"/>
  <c r="M323" i="1"/>
  <c r="O322" i="1" a="1"/>
  <c r="N322" i="1"/>
  <c r="M322" i="1"/>
  <c r="O321" i="1" a="1"/>
  <c r="N321" i="1"/>
  <c r="M321" i="1"/>
  <c r="O320" i="1" a="1"/>
  <c r="N320" i="1"/>
  <c r="M320" i="1"/>
  <c r="O319" i="1" a="1"/>
  <c r="N319" i="1"/>
  <c r="M319" i="1"/>
  <c r="O318" i="1" a="1"/>
  <c r="N318" i="1"/>
  <c r="M318" i="1"/>
  <c r="O317" i="1" a="1"/>
  <c r="N317" i="1"/>
  <c r="M317" i="1"/>
  <c r="O316" i="1" a="1"/>
  <c r="N316" i="1"/>
  <c r="M316" i="1"/>
  <c r="O315" i="1" a="1"/>
  <c r="N315" i="1"/>
  <c r="M315" i="1"/>
  <c r="O314" i="1" a="1"/>
  <c r="N314" i="1"/>
  <c r="M314" i="1"/>
  <c r="O313" i="1" a="1"/>
  <c r="N313" i="1"/>
  <c r="M313" i="1"/>
  <c r="O312" i="1" a="1"/>
  <c r="N312" i="1"/>
  <c r="M312" i="1"/>
  <c r="O311" i="1" a="1"/>
  <c r="N311" i="1"/>
  <c r="M311" i="1"/>
  <c r="O310" i="1" a="1"/>
  <c r="N310" i="1"/>
  <c r="M310" i="1"/>
  <c r="O309" i="1" a="1"/>
  <c r="N309" i="1"/>
  <c r="M309" i="1"/>
  <c r="O308" i="1" a="1"/>
  <c r="N308" i="1"/>
  <c r="M308" i="1"/>
  <c r="O307" i="1" a="1"/>
  <c r="N307" i="1"/>
  <c r="M307" i="1"/>
  <c r="O306" i="1" a="1"/>
  <c r="N306" i="1"/>
  <c r="M306" i="1"/>
  <c r="O305" i="1" a="1"/>
  <c r="N305" i="1"/>
  <c r="M305" i="1"/>
  <c r="O304" i="1" a="1"/>
  <c r="N304" i="1"/>
  <c r="M304" i="1"/>
  <c r="O303" i="1" a="1"/>
  <c r="N303" i="1"/>
  <c r="M303" i="1"/>
  <c r="O302" i="1" a="1"/>
  <c r="N302" i="1"/>
  <c r="M302" i="1"/>
  <c r="O301" i="1" a="1"/>
  <c r="N301" i="1"/>
  <c r="M301" i="1"/>
  <c r="O300" i="1" a="1"/>
  <c r="N300" i="1"/>
  <c r="M300" i="1"/>
  <c r="O299" i="1" a="1"/>
  <c r="N299" i="1"/>
  <c r="M299" i="1"/>
  <c r="O298" i="1" a="1"/>
  <c r="N298" i="1"/>
  <c r="M298" i="1"/>
  <c r="O297" i="1" a="1"/>
  <c r="N297" i="1"/>
  <c r="M297" i="1"/>
  <c r="O296" i="1" a="1"/>
  <c r="N296" i="1"/>
  <c r="M296" i="1"/>
  <c r="O295" i="1" a="1"/>
  <c r="N295" i="1"/>
  <c r="M295" i="1"/>
  <c r="O294" i="1" a="1"/>
  <c r="N294" i="1"/>
  <c r="M294" i="1"/>
  <c r="O293" i="1" a="1"/>
  <c r="N293" i="1"/>
  <c r="M293" i="1"/>
  <c r="O292" i="1" a="1"/>
  <c r="N292" i="1"/>
  <c r="M292" i="1"/>
  <c r="O291" i="1" a="1"/>
  <c r="N291" i="1"/>
  <c r="M291" i="1"/>
  <c r="O290" i="1" a="1"/>
  <c r="N290" i="1"/>
  <c r="M290" i="1"/>
  <c r="O289" i="1" a="1"/>
  <c r="N289" i="1"/>
  <c r="M289" i="1"/>
  <c r="O288" i="1" a="1"/>
  <c r="N288" i="1"/>
  <c r="M288" i="1"/>
  <c r="O287" i="1" a="1"/>
  <c r="N287" i="1"/>
  <c r="M287" i="1"/>
  <c r="O286" i="1" a="1"/>
  <c r="N286" i="1"/>
  <c r="M286" i="1"/>
  <c r="O285" i="1" a="1"/>
  <c r="N285" i="1"/>
  <c r="M285" i="1"/>
  <c r="O284" i="1" a="1"/>
  <c r="N284" i="1"/>
  <c r="M284" i="1"/>
  <c r="O283" i="1" a="1"/>
  <c r="N283" i="1"/>
  <c r="M283" i="1"/>
  <c r="O282" i="1" a="1"/>
  <c r="N282" i="1"/>
  <c r="M282" i="1"/>
  <c r="O281" i="1" a="1"/>
  <c r="N281" i="1"/>
  <c r="M281" i="1"/>
  <c r="O280" i="1" a="1"/>
  <c r="N280" i="1"/>
  <c r="M280" i="1"/>
  <c r="O279" i="1" a="1"/>
  <c r="N279" i="1"/>
  <c r="M279" i="1"/>
  <c r="O278" i="1" a="1"/>
  <c r="N278" i="1"/>
  <c r="M278" i="1"/>
  <c r="O277" i="1" a="1"/>
  <c r="N277" i="1"/>
  <c r="M277" i="1"/>
  <c r="O276" i="1" a="1"/>
  <c r="N276" i="1"/>
  <c r="M276" i="1"/>
  <c r="O275" i="1" a="1"/>
  <c r="N275" i="1"/>
  <c r="M275" i="1"/>
  <c r="O274" i="1" a="1"/>
  <c r="N274" i="1"/>
  <c r="M274" i="1"/>
  <c r="O273" i="1" a="1"/>
  <c r="N273" i="1"/>
  <c r="M273" i="1"/>
  <c r="O272" i="1" a="1"/>
  <c r="N272" i="1"/>
  <c r="M272" i="1"/>
  <c r="O271" i="1" a="1"/>
  <c r="N271" i="1"/>
  <c r="M271" i="1"/>
  <c r="O270" i="1" a="1"/>
  <c r="N270" i="1"/>
  <c r="M270" i="1"/>
  <c r="O269" i="1" a="1"/>
  <c r="N269" i="1"/>
  <c r="M269" i="1"/>
  <c r="O268" i="1" a="1"/>
  <c r="N268" i="1"/>
  <c r="M268" i="1"/>
  <c r="O267" i="1" a="1"/>
  <c r="N267" i="1"/>
  <c r="M267" i="1"/>
  <c r="O266" i="1" a="1"/>
  <c r="N266" i="1"/>
  <c r="M266" i="1"/>
  <c r="O265" i="1" a="1"/>
  <c r="N265" i="1"/>
  <c r="M265" i="1"/>
  <c r="O264" i="1" a="1"/>
  <c r="N264" i="1"/>
  <c r="M264" i="1"/>
  <c r="O263" i="1" a="1"/>
  <c r="N263" i="1"/>
  <c r="M263" i="1"/>
  <c r="O262" i="1" a="1"/>
  <c r="N262" i="1"/>
  <c r="M262" i="1"/>
  <c r="O261" i="1" a="1"/>
  <c r="N261" i="1"/>
  <c r="M261" i="1"/>
  <c r="O260" i="1" a="1"/>
  <c r="N260" i="1"/>
  <c r="M260" i="1"/>
  <c r="O259" i="1" a="1"/>
  <c r="N259" i="1"/>
  <c r="M259" i="1"/>
  <c r="O258" i="1" a="1"/>
  <c r="N258" i="1"/>
  <c r="M258" i="1"/>
  <c r="O257" i="1" a="1"/>
  <c r="N257" i="1"/>
  <c r="M257" i="1"/>
  <c r="O256" i="1" a="1"/>
  <c r="N256" i="1"/>
  <c r="M256" i="1"/>
  <c r="O255" i="1" a="1"/>
  <c r="N255" i="1"/>
  <c r="M255" i="1"/>
  <c r="O254" i="1" a="1"/>
  <c r="N254" i="1"/>
  <c r="M254" i="1"/>
  <c r="O253" i="1" a="1"/>
  <c r="N253" i="1"/>
  <c r="M253" i="1"/>
  <c r="O252" i="1" a="1"/>
  <c r="N252" i="1"/>
  <c r="M252" i="1"/>
  <c r="O251" i="1" a="1"/>
  <c r="N251" i="1"/>
  <c r="M251" i="1"/>
  <c r="O250" i="1" a="1"/>
  <c r="N250" i="1"/>
  <c r="M250" i="1"/>
  <c r="O249" i="1" a="1"/>
  <c r="N249" i="1"/>
  <c r="M249" i="1"/>
  <c r="O248" i="1" a="1"/>
  <c r="N248" i="1"/>
  <c r="M248" i="1"/>
  <c r="O247" i="1" a="1"/>
  <c r="N247" i="1"/>
  <c r="M247" i="1"/>
  <c r="O246" i="1" a="1"/>
  <c r="N246" i="1"/>
  <c r="M246" i="1"/>
  <c r="O245" i="1" a="1"/>
  <c r="N245" i="1"/>
  <c r="M245" i="1"/>
  <c r="O244" i="1" a="1"/>
  <c r="N244" i="1"/>
  <c r="M244" i="1"/>
  <c r="O243" i="1" a="1"/>
  <c r="N243" i="1"/>
  <c r="M243" i="1"/>
  <c r="O242" i="1" a="1"/>
  <c r="N242" i="1"/>
  <c r="M242" i="1"/>
  <c r="O241" i="1" a="1"/>
  <c r="N241" i="1"/>
  <c r="M241" i="1"/>
  <c r="O240" i="1" a="1"/>
  <c r="N240" i="1"/>
  <c r="M240" i="1"/>
  <c r="O239" i="1" a="1"/>
  <c r="N239" i="1"/>
  <c r="M239" i="1"/>
  <c r="O238" i="1" a="1"/>
  <c r="N238" i="1"/>
  <c r="M238" i="1"/>
  <c r="O237" i="1" a="1"/>
  <c r="N237" i="1"/>
  <c r="M237" i="1"/>
  <c r="O236" i="1" a="1"/>
  <c r="N236" i="1"/>
  <c r="M236" i="1"/>
  <c r="O235" i="1" a="1"/>
  <c r="N235" i="1"/>
  <c r="M235" i="1"/>
  <c r="O234" i="1" a="1"/>
  <c r="N234" i="1"/>
  <c r="M234" i="1"/>
  <c r="O233" i="1" a="1"/>
  <c r="N233" i="1"/>
  <c r="M233" i="1"/>
  <c r="O232" i="1" a="1"/>
  <c r="N232" i="1"/>
  <c r="M232" i="1"/>
  <c r="O231" i="1" a="1"/>
  <c r="N231" i="1"/>
  <c r="M231" i="1"/>
  <c r="O230" i="1" a="1"/>
  <c r="N230" i="1"/>
  <c r="M230" i="1"/>
  <c r="O229" i="1" a="1"/>
  <c r="N229" i="1"/>
  <c r="M229" i="1"/>
  <c r="O228" i="1" a="1"/>
  <c r="N228" i="1"/>
  <c r="M228" i="1"/>
  <c r="O227" i="1" a="1"/>
  <c r="N227" i="1"/>
  <c r="M227" i="1"/>
  <c r="O226" i="1" a="1"/>
  <c r="N226" i="1"/>
  <c r="M226" i="1"/>
  <c r="O225" i="1" a="1"/>
  <c r="N225" i="1"/>
  <c r="M225" i="1"/>
  <c r="O224" i="1" a="1"/>
  <c r="N224" i="1"/>
  <c r="M224" i="1"/>
  <c r="O223" i="1" a="1"/>
  <c r="N223" i="1"/>
  <c r="M223" i="1"/>
  <c r="O222" i="1" a="1"/>
  <c r="N222" i="1"/>
  <c r="M222" i="1"/>
  <c r="O221" i="1" a="1"/>
  <c r="N221" i="1"/>
  <c r="M221" i="1"/>
  <c r="O220" i="1" a="1"/>
  <c r="N220" i="1"/>
  <c r="M220" i="1"/>
  <c r="O219" i="1" a="1"/>
  <c r="N219" i="1"/>
  <c r="M219" i="1"/>
  <c r="O218" i="1" a="1"/>
  <c r="N218" i="1"/>
  <c r="M218" i="1"/>
  <c r="O217" i="1" a="1"/>
  <c r="N217" i="1"/>
  <c r="M217" i="1"/>
  <c r="O216" i="1" a="1"/>
  <c r="N216" i="1"/>
  <c r="M216" i="1"/>
  <c r="O215" i="1" a="1"/>
  <c r="N215" i="1"/>
  <c r="M215" i="1"/>
  <c r="O214" i="1" a="1"/>
  <c r="N214" i="1"/>
  <c r="M214" i="1"/>
  <c r="O213" i="1" a="1"/>
  <c r="N213" i="1"/>
  <c r="M213" i="1"/>
  <c r="O212" i="1" a="1"/>
  <c r="N212" i="1"/>
  <c r="M212" i="1"/>
  <c r="O211" i="1" a="1"/>
  <c r="N211" i="1"/>
  <c r="M211" i="1"/>
  <c r="O210" i="1" a="1"/>
  <c r="N210" i="1"/>
  <c r="M210" i="1"/>
  <c r="O209" i="1" a="1"/>
  <c r="N209" i="1"/>
  <c r="M209" i="1"/>
  <c r="O208" i="1" a="1"/>
  <c r="N208" i="1"/>
  <c r="M208" i="1"/>
  <c r="O207" i="1" a="1"/>
  <c r="N207" i="1"/>
  <c r="M207" i="1"/>
  <c r="O206" i="1" a="1"/>
  <c r="N206" i="1"/>
  <c r="M206" i="1"/>
  <c r="O205" i="1" a="1"/>
  <c r="N205" i="1"/>
  <c r="M205" i="1"/>
  <c r="O204" i="1" a="1"/>
  <c r="N204" i="1"/>
  <c r="M204" i="1"/>
  <c r="O203" i="1" a="1"/>
  <c r="N203" i="1"/>
  <c r="M203" i="1"/>
  <c r="O202" i="1" a="1"/>
  <c r="N202" i="1"/>
  <c r="M202" i="1"/>
  <c r="O201" i="1" a="1"/>
  <c r="N201" i="1"/>
  <c r="M201" i="1"/>
  <c r="O200" i="1" a="1"/>
  <c r="N200" i="1"/>
  <c r="M200" i="1"/>
  <c r="O199" i="1" a="1"/>
  <c r="N199" i="1"/>
  <c r="M199" i="1"/>
  <c r="O198" i="1" a="1"/>
  <c r="N198" i="1"/>
  <c r="M198" i="1"/>
  <c r="O197" i="1" a="1"/>
  <c r="N197" i="1"/>
  <c r="M197" i="1"/>
  <c r="O196" i="1" a="1"/>
  <c r="N196" i="1"/>
  <c r="M196" i="1"/>
  <c r="O195" i="1" a="1"/>
  <c r="N195" i="1"/>
  <c r="M195" i="1"/>
  <c r="O194" i="1" a="1"/>
  <c r="N194" i="1"/>
  <c r="M194" i="1"/>
  <c r="O193" i="1" a="1"/>
  <c r="N193" i="1"/>
  <c r="M193" i="1"/>
  <c r="O192" i="1" a="1"/>
  <c r="N192" i="1"/>
  <c r="M192" i="1"/>
  <c r="O191" i="1" a="1"/>
  <c r="N191" i="1"/>
  <c r="M191" i="1"/>
  <c r="O190" i="1" a="1"/>
  <c r="N190" i="1"/>
  <c r="M190" i="1"/>
  <c r="O189" i="1" a="1"/>
  <c r="N189" i="1"/>
  <c r="M189" i="1"/>
  <c r="O188" i="1" a="1"/>
  <c r="N188" i="1"/>
  <c r="M188" i="1"/>
  <c r="O187" i="1" a="1"/>
  <c r="N187" i="1"/>
  <c r="M187" i="1"/>
  <c r="O186" i="1" a="1"/>
  <c r="N186" i="1"/>
  <c r="M186" i="1"/>
  <c r="O185" i="1" a="1"/>
  <c r="N185" i="1"/>
  <c r="M185" i="1"/>
  <c r="O184" i="1" a="1"/>
  <c r="N184" i="1"/>
  <c r="M184" i="1"/>
  <c r="O183" i="1" a="1"/>
  <c r="N183" i="1"/>
  <c r="M183" i="1"/>
  <c r="O182" i="1" a="1"/>
  <c r="N182" i="1"/>
  <c r="M182" i="1"/>
  <c r="O181" i="1" a="1"/>
  <c r="N181" i="1"/>
  <c r="M181" i="1"/>
  <c r="O180" i="1" a="1"/>
  <c r="N180" i="1"/>
  <c r="M180" i="1"/>
  <c r="O179" i="1" a="1"/>
  <c r="N179" i="1"/>
  <c r="M179" i="1"/>
  <c r="O178" i="1" a="1"/>
  <c r="N178" i="1"/>
  <c r="M178" i="1"/>
  <c r="O177" i="1" a="1"/>
  <c r="N177" i="1"/>
  <c r="M177" i="1"/>
  <c r="O176" i="1" a="1"/>
  <c r="N176" i="1"/>
  <c r="M176" i="1"/>
  <c r="O175" i="1" a="1"/>
  <c r="N175" i="1"/>
  <c r="M175" i="1"/>
  <c r="O174" i="1" a="1"/>
  <c r="N174" i="1"/>
  <c r="M174" i="1"/>
  <c r="O173" i="1" a="1"/>
  <c r="N173" i="1"/>
  <c r="M173" i="1"/>
  <c r="O172" i="1" a="1"/>
  <c r="N172" i="1"/>
  <c r="M172" i="1"/>
  <c r="O171" i="1" a="1"/>
  <c r="N171" i="1"/>
  <c r="M171" i="1"/>
  <c r="O170" i="1" a="1"/>
  <c r="N170" i="1"/>
  <c r="M170" i="1"/>
  <c r="O169" i="1" a="1"/>
  <c r="N169" i="1"/>
  <c r="M169" i="1"/>
  <c r="O168" i="1" a="1"/>
  <c r="N168" i="1"/>
  <c r="M168" i="1"/>
  <c r="O167" i="1" a="1"/>
  <c r="N167" i="1"/>
  <c r="M167" i="1"/>
  <c r="O166" i="1" a="1"/>
  <c r="N166" i="1"/>
  <c r="M166" i="1"/>
  <c r="O165" i="1" a="1"/>
  <c r="N165" i="1"/>
  <c r="M165" i="1"/>
  <c r="O164" i="1" a="1"/>
  <c r="N164" i="1"/>
  <c r="M164" i="1"/>
  <c r="O163" i="1" a="1"/>
  <c r="N163" i="1"/>
  <c r="M163" i="1"/>
  <c r="O162" i="1" a="1"/>
  <c r="N162" i="1"/>
  <c r="M162" i="1"/>
  <c r="O161" i="1" a="1"/>
  <c r="N161" i="1"/>
  <c r="M161" i="1"/>
  <c r="O160" i="1" a="1"/>
  <c r="N160" i="1"/>
  <c r="M160" i="1"/>
  <c r="O159" i="1" a="1"/>
  <c r="N159" i="1"/>
  <c r="M159" i="1"/>
  <c r="O158" i="1" a="1"/>
  <c r="N158" i="1"/>
  <c r="M158" i="1"/>
  <c r="O157" i="1" a="1"/>
  <c r="N157" i="1"/>
  <c r="M157" i="1"/>
  <c r="O156" i="1" a="1"/>
  <c r="N156" i="1"/>
  <c r="M156" i="1"/>
  <c r="O155" i="1" a="1"/>
  <c r="N155" i="1"/>
  <c r="M155" i="1"/>
  <c r="O154" i="1" a="1"/>
  <c r="N154" i="1"/>
  <c r="M154" i="1"/>
  <c r="O153" i="1" a="1"/>
  <c r="N153" i="1"/>
  <c r="M153" i="1"/>
  <c r="O152" i="1" a="1"/>
  <c r="N152" i="1"/>
  <c r="M152" i="1"/>
  <c r="O151" i="1" a="1"/>
  <c r="N151" i="1"/>
  <c r="M151" i="1"/>
  <c r="O150" i="1" a="1"/>
  <c r="N150" i="1"/>
  <c r="M150" i="1"/>
  <c r="O149" i="1" a="1"/>
  <c r="N149" i="1"/>
  <c r="M149" i="1"/>
  <c r="O148" i="1" a="1"/>
  <c r="N148" i="1"/>
  <c r="M148" i="1"/>
  <c r="O147" i="1" a="1"/>
  <c r="N147" i="1"/>
  <c r="M147" i="1"/>
  <c r="O146" i="1" a="1"/>
  <c r="N146" i="1"/>
  <c r="M146" i="1"/>
  <c r="O145" i="1" a="1"/>
  <c r="N145" i="1"/>
  <c r="M145" i="1"/>
  <c r="O144" i="1" a="1"/>
  <c r="N144" i="1"/>
  <c r="M144" i="1"/>
  <c r="O143" i="1" a="1"/>
  <c r="N143" i="1"/>
  <c r="M143" i="1"/>
  <c r="O142" i="1" a="1"/>
  <c r="N142" i="1"/>
  <c r="M142" i="1"/>
  <c r="O141" i="1" a="1"/>
  <c r="N141" i="1"/>
  <c r="M141" i="1"/>
  <c r="O140" i="1" a="1"/>
  <c r="N140" i="1"/>
  <c r="M140" i="1"/>
  <c r="O139" i="1" a="1"/>
  <c r="N139" i="1"/>
  <c r="M139" i="1"/>
  <c r="O138" i="1" a="1"/>
  <c r="N138" i="1"/>
  <c r="M138" i="1"/>
  <c r="O137" i="1" a="1"/>
  <c r="N137" i="1"/>
  <c r="M137" i="1"/>
  <c r="O136" i="1" a="1"/>
  <c r="N136" i="1"/>
  <c r="M136" i="1"/>
  <c r="O135" i="1" a="1"/>
  <c r="N135" i="1"/>
  <c r="M135" i="1"/>
  <c r="O134" i="1" a="1"/>
  <c r="N134" i="1"/>
  <c r="M134" i="1"/>
  <c r="O133" i="1" a="1"/>
  <c r="N133" i="1"/>
  <c r="M133" i="1"/>
  <c r="O132" i="1" a="1"/>
  <c r="N132" i="1"/>
  <c r="M132" i="1"/>
  <c r="O131" i="1" a="1"/>
  <c r="N131" i="1"/>
  <c r="M131" i="1"/>
  <c r="O130" i="1" a="1"/>
  <c r="N130" i="1"/>
  <c r="M130" i="1"/>
  <c r="O129" i="1" a="1"/>
  <c r="N129" i="1"/>
  <c r="M129" i="1"/>
  <c r="O128" i="1" a="1"/>
  <c r="N128" i="1"/>
  <c r="M128" i="1"/>
  <c r="O127" i="1" a="1"/>
  <c r="N127" i="1"/>
  <c r="M127" i="1"/>
  <c r="O126" i="1" a="1"/>
  <c r="N126" i="1"/>
  <c r="M126" i="1"/>
  <c r="O125" i="1" a="1"/>
  <c r="N125" i="1"/>
  <c r="M125" i="1"/>
  <c r="O124" i="1" a="1"/>
  <c r="N124" i="1"/>
  <c r="M124" i="1"/>
  <c r="O123" i="1" a="1"/>
  <c r="N123" i="1"/>
  <c r="M123" i="1"/>
  <c r="O122" i="1" a="1"/>
  <c r="N122" i="1"/>
  <c r="M122" i="1"/>
  <c r="O121" i="1" a="1"/>
  <c r="N121" i="1"/>
  <c r="M121" i="1"/>
  <c r="O120" i="1" a="1"/>
  <c r="N120" i="1"/>
  <c r="M120" i="1"/>
  <c r="O119" i="1" a="1"/>
  <c r="N119" i="1"/>
  <c r="M119" i="1"/>
  <c r="O118" i="1" a="1"/>
  <c r="N118" i="1"/>
  <c r="M118" i="1"/>
  <c r="O117" i="1" a="1"/>
  <c r="N117" i="1"/>
  <c r="M117" i="1"/>
  <c r="O116" i="1" a="1"/>
  <c r="N116" i="1"/>
  <c r="M116" i="1"/>
  <c r="O115" i="1" a="1"/>
  <c r="N115" i="1"/>
  <c r="M115" i="1"/>
  <c r="O114" i="1" a="1"/>
  <c r="N114" i="1"/>
  <c r="M114" i="1"/>
  <c r="O113" i="1" a="1"/>
  <c r="N113" i="1"/>
  <c r="M113" i="1"/>
  <c r="O112" i="1" a="1"/>
  <c r="N112" i="1"/>
  <c r="M112" i="1"/>
  <c r="O111" i="1" a="1"/>
  <c r="N111" i="1"/>
  <c r="M111" i="1"/>
  <c r="O110" i="1" a="1"/>
  <c r="N110" i="1"/>
  <c r="M110" i="1"/>
  <c r="O109" i="1" a="1"/>
  <c r="N109" i="1"/>
  <c r="M109" i="1"/>
  <c r="O108" i="1" a="1"/>
  <c r="N108" i="1"/>
  <c r="M108" i="1"/>
  <c r="O107" i="1" a="1"/>
  <c r="N107" i="1"/>
  <c r="M107" i="1"/>
  <c r="O106" i="1" a="1"/>
  <c r="N106" i="1"/>
  <c r="M106" i="1"/>
  <c r="O105" i="1" a="1"/>
  <c r="N105" i="1"/>
  <c r="M105" i="1"/>
  <c r="O104" i="1" a="1"/>
  <c r="N104" i="1"/>
  <c r="M104" i="1"/>
  <c r="O103" i="1" a="1"/>
  <c r="N103" i="1"/>
  <c r="M103" i="1"/>
  <c r="O102" i="1" a="1"/>
  <c r="N102" i="1"/>
  <c r="M102" i="1"/>
  <c r="O101" i="1" a="1"/>
  <c r="N101" i="1"/>
  <c r="M101" i="1"/>
  <c r="O100" i="1" a="1"/>
  <c r="N100" i="1"/>
  <c r="M100" i="1"/>
  <c r="O99" i="1" a="1"/>
  <c r="N99" i="1"/>
  <c r="M99" i="1"/>
  <c r="O98" i="1" a="1"/>
  <c r="N98" i="1"/>
  <c r="M98" i="1"/>
  <c r="O97" i="1" a="1"/>
  <c r="N97" i="1"/>
  <c r="M97" i="1"/>
  <c r="O96" i="1" a="1"/>
  <c r="N96" i="1"/>
  <c r="M96" i="1"/>
  <c r="O95" i="1" a="1"/>
  <c r="N95" i="1"/>
  <c r="M95" i="1"/>
  <c r="O94" i="1" a="1"/>
  <c r="N94" i="1"/>
  <c r="M94" i="1"/>
  <c r="O93" i="1" a="1"/>
  <c r="N93" i="1"/>
  <c r="M93" i="1"/>
  <c r="O92" i="1" a="1"/>
  <c r="N92" i="1"/>
  <c r="M92" i="1"/>
  <c r="O91" i="1" a="1"/>
  <c r="N91" i="1"/>
  <c r="M91" i="1"/>
  <c r="O90" i="1" a="1"/>
  <c r="N90" i="1"/>
  <c r="M90" i="1"/>
  <c r="O89" i="1" a="1"/>
  <c r="N89" i="1"/>
  <c r="M89" i="1"/>
  <c r="O88" i="1" a="1"/>
  <c r="N88" i="1"/>
  <c r="M88" i="1"/>
  <c r="O87" i="1" a="1"/>
  <c r="N87" i="1"/>
  <c r="M87" i="1"/>
  <c r="O86" i="1" a="1"/>
  <c r="N86" i="1"/>
  <c r="M86" i="1"/>
  <c r="O85" i="1" a="1"/>
  <c r="N85" i="1"/>
  <c r="M85" i="1"/>
  <c r="O84" i="1" a="1"/>
  <c r="N84" i="1"/>
  <c r="M84" i="1"/>
  <c r="O83" i="1" a="1"/>
  <c r="N83" i="1"/>
  <c r="M83" i="1"/>
  <c r="O82" i="1" a="1"/>
  <c r="N82" i="1"/>
  <c r="M82" i="1"/>
  <c r="O81" i="1" a="1"/>
  <c r="N81" i="1"/>
  <c r="M81" i="1"/>
  <c r="O80" i="1" a="1"/>
  <c r="N80" i="1"/>
  <c r="M80" i="1"/>
  <c r="O79" i="1" a="1"/>
  <c r="N79" i="1"/>
  <c r="M79" i="1"/>
  <c r="O78" i="1" a="1"/>
  <c r="N78" i="1"/>
  <c r="M78" i="1"/>
  <c r="O77" i="1" a="1"/>
  <c r="N77" i="1"/>
  <c r="M77" i="1"/>
  <c r="O76" i="1" a="1"/>
  <c r="N76" i="1"/>
  <c r="M76" i="1"/>
  <c r="O75" i="1" a="1"/>
  <c r="N75" i="1"/>
  <c r="M75" i="1"/>
  <c r="O74" i="1" a="1"/>
  <c r="N74" i="1"/>
  <c r="M74" i="1"/>
  <c r="O73" i="1" a="1"/>
  <c r="N73" i="1"/>
  <c r="M73" i="1"/>
  <c r="O72" i="1" a="1"/>
  <c r="N72" i="1"/>
  <c r="M72" i="1"/>
  <c r="O71" i="1" a="1"/>
  <c r="N71" i="1"/>
  <c r="M71" i="1"/>
  <c r="O70" i="1" a="1"/>
  <c r="N70" i="1"/>
  <c r="M70" i="1"/>
  <c r="O69" i="1" a="1"/>
  <c r="N69" i="1"/>
  <c r="M69" i="1"/>
  <c r="O68" i="1" a="1"/>
  <c r="N68" i="1"/>
  <c r="M68" i="1"/>
  <c r="O67" i="1" a="1"/>
  <c r="N67" i="1"/>
  <c r="M67" i="1"/>
  <c r="O66" i="1" a="1"/>
  <c r="N66" i="1"/>
  <c r="M66" i="1"/>
  <c r="O65" i="1" a="1"/>
  <c r="N65" i="1"/>
  <c r="M65" i="1"/>
  <c r="O64" i="1" a="1"/>
  <c r="N64" i="1"/>
  <c r="M64" i="1"/>
  <c r="O63" i="1" a="1"/>
  <c r="N63" i="1"/>
  <c r="M63" i="1"/>
  <c r="O62" i="1" a="1"/>
  <c r="N62" i="1"/>
  <c r="M62" i="1"/>
  <c r="O61" i="1" a="1"/>
  <c r="N61" i="1"/>
  <c r="M61" i="1"/>
  <c r="O60" i="1" a="1"/>
  <c r="N60" i="1"/>
  <c r="M60" i="1"/>
  <c r="O59" i="1" a="1"/>
  <c r="N59" i="1"/>
  <c r="M59" i="1"/>
  <c r="O58" i="1" a="1"/>
  <c r="N58" i="1"/>
  <c r="M58" i="1"/>
  <c r="O57" i="1" a="1"/>
  <c r="N57" i="1"/>
  <c r="M57" i="1"/>
  <c r="O56" i="1" a="1"/>
  <c r="N56" i="1"/>
  <c r="M56" i="1"/>
  <c r="O55" i="1" a="1"/>
  <c r="N55" i="1"/>
  <c r="M55" i="1"/>
  <c r="O54" i="1" a="1"/>
  <c r="N54" i="1"/>
  <c r="M54" i="1"/>
  <c r="O53" i="1" a="1"/>
  <c r="N53" i="1"/>
  <c r="M53" i="1"/>
  <c r="O52" i="1" a="1"/>
  <c r="O51" i="1" a="1"/>
  <c r="N51" i="1"/>
  <c r="M51" i="1"/>
  <c r="O50" i="1" a="1"/>
  <c r="N50" i="1"/>
  <c r="M50" i="1"/>
  <c r="O49" i="1" a="1"/>
  <c r="N49" i="1"/>
  <c r="M49" i="1"/>
  <c r="O48" i="1" a="1"/>
  <c r="N48" i="1"/>
  <c r="M48" i="1"/>
  <c r="O47" i="1" a="1"/>
  <c r="N47" i="1"/>
  <c r="M47" i="1"/>
  <c r="O46" i="1" a="1"/>
  <c r="N46" i="1"/>
  <c r="M46" i="1"/>
  <c r="O45" i="1" a="1"/>
  <c r="N45" i="1"/>
  <c r="M45" i="1"/>
  <c r="O44" i="1" a="1"/>
  <c r="N44" i="1"/>
  <c r="M44" i="1"/>
  <c r="O43" i="1" a="1"/>
  <c r="N43" i="1"/>
  <c r="M43" i="1"/>
  <c r="O42" i="1" a="1"/>
  <c r="N42" i="1"/>
  <c r="M42" i="1"/>
  <c r="O41" i="1" a="1"/>
  <c r="N41" i="1"/>
  <c r="M41" i="1"/>
  <c r="O40" i="1" a="1"/>
  <c r="N40" i="1"/>
  <c r="M40" i="1"/>
  <c r="O39" i="1" a="1"/>
  <c r="N39" i="1"/>
  <c r="M39" i="1"/>
  <c r="O38" i="1" a="1"/>
  <c r="N38" i="1"/>
  <c r="M38" i="1"/>
  <c r="O37" i="1" a="1"/>
  <c r="N37" i="1"/>
  <c r="M37" i="1"/>
  <c r="O36" i="1" a="1"/>
  <c r="N36" i="1"/>
  <c r="M36" i="1"/>
  <c r="O35" i="1" a="1"/>
  <c r="N35" i="1"/>
  <c r="M35" i="1"/>
  <c r="O34" i="1" a="1"/>
  <c r="N34" i="1"/>
  <c r="M34" i="1"/>
  <c r="O33" i="1" a="1"/>
  <c r="N33" i="1"/>
  <c r="M33" i="1"/>
  <c r="O32" i="1" a="1"/>
  <c r="N32" i="1"/>
  <c r="M32" i="1"/>
  <c r="O31" i="1" a="1"/>
  <c r="N31" i="1"/>
  <c r="M31" i="1"/>
  <c r="O30" i="1" a="1"/>
  <c r="N30" i="1"/>
  <c r="M30" i="1"/>
  <c r="O29" i="1" a="1"/>
  <c r="N29" i="1"/>
  <c r="M29" i="1"/>
  <c r="O28" i="1" a="1"/>
  <c r="N28" i="1"/>
  <c r="M28" i="1"/>
  <c r="O27" i="1" a="1"/>
  <c r="N27" i="1"/>
  <c r="M27" i="1"/>
  <c r="O26" i="1" a="1"/>
  <c r="N26" i="1"/>
  <c r="M26" i="1"/>
  <c r="O25" i="1" a="1"/>
  <c r="N25" i="1"/>
  <c r="M25" i="1"/>
  <c r="O24" i="1" a="1"/>
  <c r="N24" i="1"/>
  <c r="M24" i="1"/>
  <c r="O23" i="1" a="1"/>
  <c r="N23" i="1"/>
  <c r="M23" i="1"/>
  <c r="O22" i="1" a="1"/>
  <c r="N22" i="1"/>
  <c r="M22" i="1"/>
  <c r="O21" i="1" a="1"/>
  <c r="N21" i="1"/>
  <c r="M21" i="1"/>
  <c r="O20" i="1" a="1"/>
  <c r="N20" i="1"/>
  <c r="M20" i="1"/>
  <c r="O19" i="1" a="1"/>
  <c r="N19" i="1"/>
  <c r="M19" i="1"/>
  <c r="O18" i="1" a="1"/>
  <c r="N18" i="1"/>
  <c r="M18" i="1"/>
  <c r="O17" i="1" a="1"/>
  <c r="N17" i="1"/>
  <c r="M17" i="1"/>
  <c r="O16" i="1" a="1"/>
  <c r="N16" i="1"/>
  <c r="M16" i="1"/>
  <c r="O15" i="1" a="1"/>
  <c r="N15" i="1"/>
  <c r="M15" i="1"/>
  <c r="O14" i="1" a="1"/>
  <c r="N14" i="1"/>
  <c r="M14" i="1"/>
  <c r="O13" i="1" a="1"/>
  <c r="N13" i="1"/>
  <c r="M13" i="1"/>
  <c r="O12" i="1" a="1"/>
  <c r="N12" i="1"/>
  <c r="M12" i="1"/>
  <c r="O11" i="1" a="1"/>
  <c r="N11" i="1"/>
  <c r="M11" i="1"/>
  <c r="O10" i="1" a="1"/>
  <c r="N10" i="1"/>
  <c r="M10" i="1"/>
  <c r="O9" i="1" a="1"/>
  <c r="N9" i="1"/>
  <c r="M9" i="1"/>
  <c r="O8" i="1" a="1"/>
  <c r="N8" i="1"/>
  <c r="M8" i="1"/>
  <c r="O7" i="1" a="1"/>
  <c r="N7" i="1"/>
  <c r="M7" i="1"/>
  <c r="O6" i="1" a="1"/>
  <c r="N6" i="1"/>
  <c r="M6" i="1"/>
  <c r="O5" i="1" a="1"/>
  <c r="N5" i="1"/>
  <c r="M5" i="1"/>
  <c r="O4" i="1" a="1"/>
  <c r="N4" i="1"/>
  <c r="M4" i="1"/>
  <c r="O3" i="1" a="1"/>
  <c r="N3" i="1"/>
  <c r="M3" i="1"/>
  <c r="O2" i="1" a="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<sst xmlns="http://schemas.openxmlformats.org/spreadsheetml/2006/main" count="14757" uniqueCount="2542">
  <si>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</si>
  <si>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</si>
  <si>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</si>
  <si>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</si>
  <si>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</si>
  <si>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</si>
  <si>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</si>
  <si>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</si>
  <si>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</si>
  <si>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</si>
  <si>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</si>
  <si>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</si>
  <si>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</si>
  <si>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</si>
  <si>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</si>
  <si>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</si>
  <si>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</si>
  <si>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</si>
  <si>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</si>
  <si>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</si>
  <si>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</si>
  <si>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</si>
  <si>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</si>
  <si>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</si>
  <si>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</si>
  <si>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</si>
  <si>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</si>
  <si>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</si>
  <si>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</si>
  <si>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</si>
  <si>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</si>
  <si>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</si>
  <si>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</si>
  <si>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</si>
  <si>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</si>
  <si>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</si>
  <si>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</si>
  <si>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</si>
  <si>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</si>
  <si>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</si>
  <si>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</si>
  <si>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</si>
  <si>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</si>
  <si>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</si>
  <si>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</si>
  <si>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</si>
  <si>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</si>
  <si>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</si>
  <si>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</si>
  <si>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</si>
  <si>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</si>
  <si>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</si>
  <si>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</si>
  <si>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</si>
  <si>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</si>
  <si>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</si>
  <si>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</si>
  <si>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</si>
  <si>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</si>
  <si>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</si>
  <si>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</si>
  <si>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</si>
  <si>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</si>
  <si>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</si>
  <si>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</si>
  <si>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</si>
  <si>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</si>
  <si>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</si>
  <si>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</si>
  <si>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</si>
  <si>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</si>
  <si>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</si>
  <si>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</si>
  <si>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</si>
  <si>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</si>
  <si>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</si>
  <si>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</si>
  <si>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</si>
  <si>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</si>
  <si>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</si>
  <si>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</si>
  <si>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</si>
  <si>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</si>
  <si>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</si>
  <si>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</si>
  <si>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</si>
  <si>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</si>
  <si>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</si>
  <si>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</si>
  <si>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</si>
  <si>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</si>
  <si>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</si>
  <si>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</si>
  <si>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</si>
  <si>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</si>
  <si>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</si>
  <si>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</si>
  <si>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</si>
  <si>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</si>
  <si>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</si>
  <si>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</si>
  <si>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</si>
  <si>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</si>
  <si>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</si>
  <si>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</si>
  <si>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</si>
  <si>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</si>
  <si>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</si>
  <si>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</si>
  <si>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</si>
  <si>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</si>
  <si>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</si>
  <si>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</si>
  <si>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</si>
  <si>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</si>
  <si>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</si>
  <si>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</si>
  <si>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</si>
  <si>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</si>
  <si>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</si>
  <si>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</si>
  <si>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</si>
  <si>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</si>
  <si>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</si>
  <si>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</si>
  <si>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</si>
  <si>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</si>
  <si>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</si>
  <si>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</si>
  <si>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</si>
  <si>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</si>
  <si>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</si>
  <si>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</si>
  <si>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</si>
  <si>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</si>
  <si>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</si>
  <si>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</si>
  <si>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</si>
  <si>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</si>
  <si>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</si>
  <si>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</si>
  <si>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</si>
  <si>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</si>
  <si>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</si>
  <si>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</si>
  <si>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</si>
  <si>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</si>
  <si>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</si>
  <si>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</si>
  <si>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</si>
  <si>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</si>
  <si>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</si>
  <si>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</si>
  <si>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</si>
  <si>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</si>
  <si>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</si>
  <si>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</si>
  <si>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</si>
  <si>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</si>
  <si>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</si>
  <si>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</si>
  <si>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</si>
  <si>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</si>
  <si>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</si>
  <si>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</si>
  <si>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</si>
  <si>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</si>
  <si>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</si>
  <si>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</si>
  <si>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</si>
  <si>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</si>
  <si>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</si>
  <si>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</si>
  <si>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</si>
  <si>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</si>
  <si>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</si>
  <si>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</si>
  <si>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</si>
  <si>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</si>
  <si>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</si>
  <si>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</si>
  <si>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</si>
  <si>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</si>
  <si>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</si>
  <si>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</si>
  <si>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</si>
  <si>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</si>
  <si>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</si>
  <si>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</si>
  <si>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</si>
  <si>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</si>
  <si>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</si>
  <si>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</si>
  <si>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</si>
  <si>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</si>
  <si>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</si>
  <si>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</si>
  <si>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</si>
  <si>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</si>
  <si>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</si>
  <si>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</si>
  <si>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</si>
  <si>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</si>
  <si>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</si>
  <si>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</si>
  <si>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</si>
  <si>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</si>
  <si>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</si>
  <si>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</si>
  <si>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</si>
  <si>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</si>
  <si>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</si>
  <si>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</si>
  <si>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</si>
  <si>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</si>
  <si>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</si>
  <si>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</si>
  <si>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</si>
  <si>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</si>
  <si>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</si>
  <si>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</si>
  <si>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</si>
  <si>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</si>
  <si>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</si>
  <si>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</si>
  <si>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</si>
  <si>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</si>
  <si>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</si>
  <si>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</si>
  <si>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</si>
  <si>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</si>
  <si>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</si>
  <si>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</si>
  <si>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</si>
  <si>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</si>
  <si>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</si>
  <si>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</si>
  <si>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</si>
  <si>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</si>
  <si>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</si>
  <si>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</si>
  <si>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</si>
  <si>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</si>
  <si>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</si>
  <si>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</si>
  <si>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</si>
  <si>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</si>
  <si>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</si>
  <si>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</si>
  <si>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</si>
  <si>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</si>
  <si>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</si>
  <si>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</si>
  <si>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</si>
  <si>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</si>
  <si>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</si>
  <si>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</si>
  <si>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</si>
  <si>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</si>
  <si>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</si>
  <si>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</si>
  <si>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</si>
  <si>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</si>
  <si>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</si>
  <si>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</si>
  <si>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</si>
  <si>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</si>
  <si>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</si>
  <si>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</si>
  <si>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</si>
  <si>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</si>
  <si>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</si>
  <si>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</si>
  <si>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</si>
  <si>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</si>
  <si>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</si>
  <si>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</si>
  <si>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</si>
  <si>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</si>
  <si>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</si>
  <si>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</si>
  <si>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</si>
  <si>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</si>
  <si>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</si>
  <si>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</si>
  <si>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</si>
  <si>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</si>
  <si>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</si>
  <si>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</si>
  <si>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</si>
  <si>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</si>
  <si>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</si>
  <si>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</si>
  <si>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</si>
  <si>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</si>
  <si>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</si>
  <si>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</si>
  <si>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</si>
  <si>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</si>
  <si>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</si>
  <si>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</si>
  <si>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</si>
  <si>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</si>
  <si>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</si>
  <si>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</si>
  <si>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</si>
  <si>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</si>
  <si>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</si>
  <si>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</si>
  <si>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</si>
  <si>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</si>
  <si>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</si>
  <si>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</si>
  <si>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</si>
  <si>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</si>
  <si>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</si>
  <si>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</si>
  <si>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</si>
  <si>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</si>
  <si>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</si>
  <si>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</si>
  <si>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</si>
  <si>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</si>
  <si>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</si>
  <si>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</si>
  <si>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</si>
  <si>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</si>
  <si>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</si>
  <si>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</si>
  <si>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</si>
  <si>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</si>
  <si>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</si>
  <si>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</si>
  <si>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</si>
  <si>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</si>
  <si>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</si>
  <si>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</si>
  <si>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</si>
  <si>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</si>
  <si>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</si>
  <si>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</si>
  <si>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</si>
  <si>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</si>
  <si>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</si>
  <si>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</si>
  <si>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</si>
  <si>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</si>
  <si>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</si>
  <si>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</si>
  <si>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</si>
  <si>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</si>
  <si>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</si>
  <si>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</si>
  <si>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</si>
  <si>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</si>
  <si>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</si>
  <si>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</si>
  <si>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</si>
  <si>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</si>
  <si>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</si>
  <si>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</si>
  <si>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</si>
  <si>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</si>
  <si>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</si>
  <si>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</si>
  <si>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</si>
  <si>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</si>
  <si>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</si>
  <si>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</si>
  <si>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</si>
  <si>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</si>
  <si>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</si>
  <si>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</si>
  <si>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</si>
  <si>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</si>
  <si>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</si>
  <si>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</si>
  <si>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</si>
  <si>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</si>
  <si>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</si>
  <si>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</si>
  <si>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</si>
  <si>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</si>
  <si>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</si>
  <si>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</si>
  <si>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</si>
  <si>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</si>
  <si>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</si>
  <si>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</si>
  <si>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</si>
  <si>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</si>
  <si>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</si>
  <si>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</si>
  <si>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</si>
  <si>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</si>
  <si>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</si>
  <si>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</si>
  <si>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</si>
  <si>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</si>
  <si>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</si>
  <si>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</si>
  <si>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</si>
  <si>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</si>
  <si>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</si>
  <si>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</si>
  <si>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</si>
  <si>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</si>
  <si>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</si>
  <si>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</si>
  <si>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</si>
  <si>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</si>
  <si>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</si>
  <si>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</si>
  <si>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</si>
  <si>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</si>
  <si>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</si>
  <si>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</si>
  <si>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</si>
  <si>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</si>
  <si>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</si>
  <si>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</si>
  <si>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</si>
  <si>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</si>
  <si>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</si>
  <si>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</si>
  <si>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</si>
  <si>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</si>
  <si>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</si>
  <si>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</si>
  <si>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</si>
  <si>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</si>
  <si>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</si>
  <si>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</si>
  <si>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</si>
  <si>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</si>
  <si>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</si>
  <si>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</si>
  <si>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</si>
  <si>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</si>
  <si>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</si>
  <si>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</si>
  <si>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</si>
  <si>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</si>
  <si>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</si>
  <si>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</si>
  <si>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</si>
  <si>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</si>
  <si>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</si>
  <si>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</si>
  <si>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</si>
  <si>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</si>
  <si>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</si>
  <si>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</si>
  <si>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</si>
  <si>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</si>
  <si>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</si>
  <si>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</si>
  <si>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</si>
  <si>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</si>
  <si>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</si>
  <si>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</si>
  <si>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</si>
  <si>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</si>
  <si>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</si>
  <si>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</si>
  <si>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</si>
  <si>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</si>
  <si>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</si>
  <si>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</si>
  <si>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</si>
  <si>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</si>
  <si>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</si>
  <si>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</si>
  <si>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</si>
  <si>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</si>
  <si>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</si>
  <si>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</si>
  <si>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</si>
  <si>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</si>
  <si>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</si>
  <si>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</si>
  <si>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</si>
  <si>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</si>
  <si>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</si>
  <si>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</si>
  <si>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</si>
  <si>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</si>
  <si>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</si>
  <si>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</si>
  <si>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</si>
  <si>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</si>
  <si>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</si>
  <si>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</si>
  <si>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</si>
  <si>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</si>
  <si>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</si>
  <si>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</si>
  <si>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</si>
  <si>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</si>
  <si>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</si>
  <si>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</si>
  <si>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</si>
  <si>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</si>
  <si>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</si>
  <si>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</si>
  <si>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</si>
  <si>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</si>
  <si>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</si>
  <si>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</si>
  <si>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</si>
  <si>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</si>
  <si>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</si>
  <si>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</si>
  <si>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</si>
  <si>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</si>
  <si>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</si>
  <si>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</si>
  <si>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</si>
  <si>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</si>
  <si>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</si>
  <si>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</si>
  <si>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</si>
  <si>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</si>
  <si>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</si>
  <si>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</si>
  <si>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</si>
  <si>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</si>
  <si>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</si>
  <si>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</si>
  <si>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</si>
  <si>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</si>
  <si>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</si>
  <si>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</si>
  <si>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</si>
  <si>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</si>
  <si>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</si>
  <si>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</si>
  <si>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</si>
  <si>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</si>
  <si>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</si>
  <si>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</si>
  <si>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</si>
  <si>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</si>
  <si>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</si>
  <si>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</si>
  <si>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</si>
  <si>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</si>
  <si>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</si>
  <si>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</si>
  <si>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</si>
  <si>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</si>
  <si>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</si>
  <si>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</si>
  <si>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</si>
  <si>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</si>
  <si>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</si>
  <si>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</si>
  <si>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</si>
  <si>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</si>
  <si>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</si>
  <si>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</si>
  <si>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</si>
  <si>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</si>
  <si>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</si>
  <si>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</si>
  <si>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</si>
  <si>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</si>
  <si>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</si>
  <si>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</si>
  <si>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</si>
  <si>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</si>
  <si>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</si>
  <si>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</si>
  <si>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</si>
  <si>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</si>
  <si>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</si>
  <si>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</si>
  <si>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</si>
  <si>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</si>
  <si>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</si>
  <si>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</si>
  <si>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</si>
  <si>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</si>
  <si>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</si>
  <si>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</si>
  <si>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</si>
  <si>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</si>
  <si>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</si>
  <si>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</si>
  <si>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</si>
  <si>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</si>
  <si>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</si>
  <si>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</si>
  <si>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</si>
  <si>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</si>
  <si>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</si>
  <si>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</si>
  <si>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</si>
  <si>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</si>
  <si>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</si>
  <si>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</si>
  <si>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</si>
  <si>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</si>
  <si>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</si>
  <si>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</si>
  <si>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</si>
  <si>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</si>
  <si>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</si>
  <si>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</si>
  <si>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</si>
  <si>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</si>
  <si>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</si>
  <si>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</si>
  <si>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</si>
  <si>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</si>
  <si>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</si>
  <si>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</si>
  <si>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</si>
  <si>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</si>
  <si>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</si>
  <si>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</si>
  <si>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</si>
  <si>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</si>
  <si>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</si>
  <si>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</si>
  <si>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</si>
  <si>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</si>
  <si>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</si>
  <si>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</si>
  <si>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</si>
  <si>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</si>
  <si>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</si>
  <si>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</si>
  <si>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</si>
  <si>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</si>
  <si>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</si>
  <si>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</si>
  <si>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</si>
  <si>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</si>
  <si>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</si>
  <si>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</si>
  <si>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</si>
  <si>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</si>
  <si>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</si>
  <si>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</si>
  <si>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</si>
  <si>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</si>
  <si>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</si>
  <si>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</si>
  <si>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</si>
  <si>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</si>
  <si>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</si>
  <si>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</si>
  <si>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</si>
  <si>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</si>
  <si>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</si>
  <si>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</si>
  <si>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</si>
  <si>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</si>
  <si>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</si>
  <si>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</si>
  <si>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</si>
  <si>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</si>
  <si>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</si>
  <si>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</si>
  <si>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</si>
  <si>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</si>
  <si>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</si>
  <si>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</si>
  <si>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</si>
  <si>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</si>
  <si>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</si>
  <si>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</si>
  <si>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</si>
  <si>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</si>
  <si>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</si>
  <si>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</si>
  <si>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</si>
  <si>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</si>
  <si>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</si>
  <si>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</si>
  <si>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</si>
  <si>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</si>
  <si>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</si>
  <si>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</si>
  <si>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</si>
  <si>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</si>
  <si>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</si>
  <si>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</si>
  <si>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</si>
  <si>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</si>
  <si>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</si>
  <si>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</si>
  <si>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</si>
  <si>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</si>
  <si>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</si>
  <si>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</si>
  <si>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</si>
  <si>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</si>
  <si>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</si>
  <si>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</si>
  <si>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</si>
  <si>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</si>
  <si>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</si>
  <si>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</si>
  <si>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</si>
  <si>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</si>
  <si>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</si>
  <si>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</si>
  <si>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</si>
  <si>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</si>
  <si>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</si>
  <si>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</si>
  <si>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</si>
  <si>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</si>
  <si>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</si>
  <si>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</si>
  <si>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</si>
  <si>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</si>
  <si>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</si>
  <si>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</si>
  <si>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</si>
  <si>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</si>
  <si>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</si>
  <si>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</si>
  <si>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</si>
  <si>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</si>
  <si>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</si>
  <si>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</si>
  <si>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</si>
  <si>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</si>
  <si>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</si>
  <si>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</si>
  <si>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</si>
  <si>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</si>
  <si>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</si>
  <si>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</si>
  <si>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</si>
  <si>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</si>
  <si>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</si>
  <si>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</si>
  <si>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</si>
  <si>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</si>
  <si>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</si>
  <si>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</si>
  <si>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</si>
  <si>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</si>
  <si>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</si>
  <si>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</si>
  <si>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</si>
  <si>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</si>
  <si>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</si>
  <si>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</si>
  <si>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</si>
  <si>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</si>
  <si>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</si>
  <si>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</si>
  <si>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</si>
  <si>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</si>
  <si>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</si>
  <si>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</si>
  <si>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</si>
  <si>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</si>
  <si>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</si>
  <si>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</si>
  <si>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</si>
  <si>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</si>
  <si>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</si>
  <si>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</si>
  <si>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</si>
  <si>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</si>
  <si>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</si>
  <si>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</si>
  <si>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</si>
  <si>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</si>
  <si>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</si>
  <si>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</si>
  <si>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</si>
  <si>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</si>
  <si>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</si>
  <si>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</si>
  <si>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</si>
  <si>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</si>
  <si>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</si>
  <si>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</si>
  <si>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</si>
  <si>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</si>
  <si>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</si>
  <si>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</si>
  <si>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</si>
  <si>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</si>
  <si>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</si>
  <si>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</si>
  <si>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</si>
  <si>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</si>
  <si>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</si>
  <si>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</si>
  <si>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</si>
  <si>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</si>
  <si>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</si>
  <si>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</si>
  <si>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</si>
  <si>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</si>
  <si>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</si>
  <si>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</si>
  <si>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</si>
  <si>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</si>
  <si>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</si>
  <si>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</si>
  <si>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</si>
  <si>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</si>
  <si>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</si>
  <si>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</si>
  <si>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</si>
  <si>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</si>
  <si>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</si>
  <si>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</si>
  <si>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</si>
  <si>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</si>
  <si>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</si>
  <si>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</si>
  <si>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</si>
  <si>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</si>
  <si>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</si>
  <si>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</si>
  <si>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</si>
  <si>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</si>
  <si>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</si>
  <si>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</si>
  <si>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</si>
  <si>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</si>
  <si>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</si>
  <si>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</si>
  <si>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</si>
  <si>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</si>
  <si>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</si>
  <si>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</si>
  <si>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</si>
  <si>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</si>
  <si>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</si>
  <si>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</si>
  <si>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</si>
  <si>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</si>
  <si>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</si>
  <si>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</si>
  <si>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</si>
  <si>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</si>
  <si>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</si>
  <si>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</si>
  <si>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</si>
  <si>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</si>
  <si>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</si>
  <si>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</si>
  <si>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</si>
  <si>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</si>
  <si>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</si>
  <si>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</si>
  <si>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</si>
  <si>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</si>
  <si>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</si>
  <si>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</si>
  <si>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</si>
  <si>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</si>
  <si>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</si>
  <si>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</si>
  <si>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</si>
  <si>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</si>
  <si>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</si>
  <si>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</si>
  <si>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</si>
  <si>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</si>
  <si>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</si>
  <si>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</si>
  <si>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</si>
  <si>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</si>
  <si>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</si>
  <si>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</si>
  <si>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</si>
  <si>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</si>
  <si>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</si>
  <si>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</si>
  <si>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</si>
  <si>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</si>
  <si>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</si>
  <si>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</si>
  <si>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</si>
  <si>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</si>
  <si>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</si>
  <si>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</si>
  <si>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</si>
  <si>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</si>
  <si>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</si>
  <si>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</si>
  <si>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</si>
  <si>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</si>
  <si>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</si>
  <si>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</si>
  <si>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</si>
  <si>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</si>
  <si>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</si>
  <si>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</si>
  <si>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</si>
  <si>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</si>
  <si>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</si>
  <si>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</si>
  <si>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</si>
  <si>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</si>
  <si>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</si>
  <si>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</si>
  <si>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</si>
  <si>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</si>
  <si>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</si>
  <si>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</si>
  <si>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</si>
  <si>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</si>
  <si>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</si>
  <si>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</si>
  <si>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</si>
  <si>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</si>
  <si>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</si>
  <si>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</si>
  <si>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</si>
  <si>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</si>
  <si>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</si>
  <si>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</si>
  <si>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</si>
  <si>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</si>
  <si>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</si>
  <si>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</si>
  <si>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</si>
  <si>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</si>
  <si>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</si>
  <si>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</si>
  <si>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</si>
  <si>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</si>
  <si>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</si>
  <si>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</si>
  <si>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</si>
  <si>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</si>
  <si>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</si>
  <si>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</si>
  <si>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</si>
  <si>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</si>
  <si>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</si>
  <si>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</si>
  <si>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</si>
  <si>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</si>
  <si>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</si>
  <si>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</si>
  <si>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</si>
  <si>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</si>
  <si>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</si>
  <si>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</si>
  <si>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</si>
  <si>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</si>
  <si>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</si>
  <si>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</si>
  <si>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</si>
  <si>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</si>
  <si>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</si>
  <si>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</si>
  <si>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</si>
  <si>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</si>
  <si>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</si>
  <si>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</si>
  <si>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</si>
  <si>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</si>
  <si>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</si>
  <si>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</si>
  <si>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</si>
  <si>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</si>
  <si>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</si>
  <si>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</si>
  <si>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</si>
  <si>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</si>
  <si>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</si>
  <si>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</si>
  <si>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</si>
  <si>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</si>
  <si>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</si>
  <si>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</si>
  <si>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</si>
  <si>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</si>
  <si>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</si>
  <si>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</si>
  <si>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</si>
  <si>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</si>
  <si>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</si>
  <si>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</si>
  <si>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</si>
  <si>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</si>
  <si>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</si>
  <si>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</si>
  <si>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</si>
  <si>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</si>
  <si>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</si>
  <si>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</si>
  <si>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</si>
  <si>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</si>
  <si>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</si>
  <si>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</si>
  <si>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</si>
  <si>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</si>
  <si>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</si>
  <si>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</si>
  <si>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</si>
  <si>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</si>
  <si>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</si>
  <si>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</si>
  <si>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</si>
  <si>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</si>
  <si>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</si>
  <si>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</si>
  <si>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</si>
  <si>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</si>
  <si>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</si>
  <si>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</si>
  <si>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</si>
  <si>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</si>
  <si>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</si>
  <si>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</si>
  <si>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</si>
  <si>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</si>
  <si>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</si>
  <si>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</si>
  <si>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</si>
  <si>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</si>
  <si>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</si>
  <si>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</si>
  <si>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</si>
  <si>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</si>
  <si>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</si>
  <si>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</si>
  <si>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</si>
  <si>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</si>
  <si>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</si>
  <si>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</si>
  <si>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</si>
  <si>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</si>
  <si>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</si>
  <si>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</si>
  <si>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</si>
  <si>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</si>
  <si>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</si>
  <si>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</si>
  <si>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</si>
  <si>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</si>
  <si>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</si>
  <si>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</si>
  <si>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</si>
  <si>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</si>
  <si>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</si>
  <si>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</si>
  <si>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</si>
  <si>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</si>
  <si>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</si>
  <si>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</si>
  <si>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</si>
  <si>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</si>
  <si>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</si>
  <si>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</si>
  <si>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</si>
  <si>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</si>
  <si>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</si>
  <si>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</si>
  <si>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</si>
  <si>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</si>
  <si>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</si>
  <si>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</si>
  <si>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</si>
  <si>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</si>
  <si>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</si>
  <si>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</si>
  <si>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</si>
  <si>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</si>
  <si>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</si>
  <si>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</si>
  <si>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</si>
  <si>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</si>
  <si>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</si>
  <si>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</si>
  <si>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</si>
  <si>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</si>
  <si>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</si>
  <si>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</si>
  <si>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</si>
  <si>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</si>
  <si>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</si>
  <si>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</si>
  <si>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</si>
  <si>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</si>
  <si>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</si>
  <si>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</si>
  <si>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</si>
  <si>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</si>
  <si>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</si>
  <si>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</si>
  <si>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</si>
  <si>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</si>
  <si>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</si>
  <si>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</si>
  <si>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</si>
  <si>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</si>
  <si>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</si>
  <si>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</si>
  <si>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</si>
  <si>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</si>
  <si>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</si>
  <si>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</si>
  <si>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</si>
  <si>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</si>
  <si>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</si>
  <si>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</si>
  <si>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</si>
  <si>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</si>
  <si>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</si>
  <si>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</si>
  <si>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</si>
  <si>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</si>
  <si>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</si>
  <si>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</si>
  <si>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</si>
  <si>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</si>
  <si>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</si>
  <si>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</si>
  <si>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</si>
  <si>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</si>
  <si>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</si>
  <si>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</si>
  <si>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</si>
  <si>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</si>
  <si>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</si>
  <si>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</si>
  <si>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</si>
  <si>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</si>
  <si>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</si>
  <si>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</si>
  <si>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</si>
  <si>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</si>
  <si>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</si>
  <si>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</si>
  <si>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</si>
  <si>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</si>
  <si>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</si>
  <si>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</si>
  <si>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</si>
  <si>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</si>
  <si>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</si>
  <si>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</si>
  <si>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</si>
  <si>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</si>
  <si>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</si>
  <si>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</si>
  <si>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</si>
  <si>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</si>
  <si>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</si>
  <si>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</si>
  <si>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</si>
  <si>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</si>
  <si>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</si>
  <si>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</si>
  <si>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</si>
  <si>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</si>
  <si>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</si>
  <si>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</si>
  <si>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</si>
  <si>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</si>
  <si>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</si>
  <si>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</si>
  <si>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</si>
  <si>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</si>
  <si>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</si>
  <si>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</si>
  <si>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</si>
  <si>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</si>
  <si>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</si>
  <si>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</si>
  <si>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</si>
  <si>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</si>
  <si>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</si>
  <si>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</si>
  <si>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</si>
  <si>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</si>
  <si>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</si>
  <si>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</si>
  <si>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</si>
  <si>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</si>
  <si>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</si>
  <si>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</si>
  <si>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</si>
  <si>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</si>
  <si>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</si>
  <si>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</si>
  <si>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</si>
  <si>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</si>
  <si>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</si>
  <si>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</si>
  <si>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</si>
  <si>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</si>
  <si>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</si>
  <si>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</si>
  <si>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</si>
  <si>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</si>
  <si>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</si>
  <si>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</si>
  <si>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</si>
  <si>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</si>
  <si>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</si>
  <si>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</si>
  <si>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</si>
  <si>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</si>
  <si>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</si>
  <si>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</si>
  <si>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</si>
  <si>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</si>
  <si>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</si>
  <si>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</si>
  <si>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</si>
  <si>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</si>
  <si>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</si>
  <si>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</si>
  <si>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</si>
  <si>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</si>
  <si>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</si>
  <si>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</si>
  <si>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</si>
  <si>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</si>
  <si>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</si>
  <si>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</si>
  <si>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</si>
  <si>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</si>
  <si>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</si>
  <si>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</si>
  <si>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</si>
  <si>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</si>
  <si>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</si>
  <si>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</si>
  <si>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</si>
  <si>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</si>
  <si>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</si>
  <si>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</si>
  <si>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</si>
  <si>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</si>
  <si>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</si>
  <si>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</si>
  <si>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</si>
  <si>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</si>
  <si>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</si>
  <si>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</si>
  <si>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</si>
  <si>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</si>
  <si>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</si>
  <si>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</si>
  <si>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</si>
  <si>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</si>
  <si>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</si>
  <si>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</si>
  <si>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</si>
  <si>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</si>
  <si>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</si>
  <si>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</si>
  <si>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</si>
  <si>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</si>
  <si>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</si>
  <si>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</si>
  <si>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</si>
  <si>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</si>
  <si>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</si>
  <si>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</si>
  <si>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</si>
  <si>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</si>
  <si>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</si>
  <si>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</si>
  <si>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</si>
  <si>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</si>
  <si>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</si>
  <si>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</si>
  <si>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</si>
  <si>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</si>
  <si>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</si>
  <si>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</si>
  <si>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</si>
  <si>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</si>
  <si>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</si>
  <si>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</si>
  <si>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</si>
  <si>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</si>
  <si>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</si>
  <si>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</si>
  <si>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</si>
  <si>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</si>
  <si>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</si>
  <si>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</si>
  <si>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</si>
  <si>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</si>
  <si>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</si>
  <si>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</si>
  <si>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</si>
  <si>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</si>
  <si>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</si>
  <si>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</si>
  <si>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</si>
  <si>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</si>
  <si>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</si>
  <si>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</si>
  <si>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</si>
  <si>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</si>
  <si>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</si>
  <si>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</si>
  <si>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</si>
  <si>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</si>
  <si>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</si>
  <si>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</si>
  <si>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</si>
  <si>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</si>
  <si>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</si>
  <si>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</si>
  <si>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</si>
  <si>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</si>
  <si>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</si>
  <si>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</si>
  <si>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</si>
  <si>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</si>
  <si>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</si>
  <si>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</si>
  <si>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</si>
  <si>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</si>
  <si>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</si>
  <si>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</si>
  <si>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</si>
  <si>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</si>
  <si>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</si>
  <si>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</si>
  <si>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</si>
  <si>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</si>
  <si>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</si>
  <si>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</si>
  <si>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</si>
  <si>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</si>
  <si>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</si>
  <si>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</si>
  <si>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</si>
  <si>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</si>
  <si>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</si>
  <si>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</si>
  <si>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</si>
  <si>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</si>
  <si>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</si>
  <si>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</si>
  <si>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</si>
  <si>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</si>
  <si>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</si>
  <si>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</si>
  <si>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</si>
  <si>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</si>
  <si>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</si>
  <si>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</si>
  <si>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</si>
  <si>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</si>
  <si>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</si>
  <si>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</si>
  <si>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</si>
  <si>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</si>
  <si>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</si>
  <si>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</si>
  <si>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</si>
  <si>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</si>
  <si>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</si>
  <si>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</si>
  <si>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</si>
  <si>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</si>
  <si>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</si>
  <si>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</si>
  <si>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</si>
  <si>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</si>
  <si>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</si>
  <si>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</si>
  <si>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</si>
  <si>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</si>
  <si>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</si>
  <si>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</si>
  <si>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</si>
  <si>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</si>
  <si>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</si>
  <si>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</si>
  <si>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</si>
  <si>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</si>
  <si>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</si>
  <si>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</si>
  <si>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</si>
  <si>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</si>
  <si>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</si>
  <si>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</si>
  <si>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</si>
  <si>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</si>
  <si>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</si>
  <si>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</si>
  <si>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</si>
  <si>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</si>
  <si>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</si>
  <si>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</si>
  <si>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</si>
  <si>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</si>
  <si>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</si>
  <si>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</si>
  <si>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</si>
  <si>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</si>
  <si>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</si>
  <si>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</si>
  <si>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</si>
  <si>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</si>
  <si>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</si>
  <si>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</si>
  <si>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</si>
  <si>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</si>
  <si>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</si>
  <si>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</si>
  <si>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</si>
  <si>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</si>
  <si>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</si>
  <si>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</si>
  <si>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</si>
  <si>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</si>
  <si>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</si>
  <si>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</si>
  <si>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</si>
  <si>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</si>
  <si>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</si>
  <si>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</si>
  <si>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</si>
  <si>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</si>
  <si>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</si>
  <si>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</si>
  <si>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</si>
  <si>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</si>
  <si>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</si>
  <si>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</si>
  <si>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</si>
  <si>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</si>
  <si>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</si>
  <si>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</si>
  <si>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</si>
  <si>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</si>
  <si>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</si>
  <si>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</si>
  <si>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</si>
  <si>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</si>
  <si>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</si>
  <si>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</si>
  <si>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</si>
  <si>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</si>
  <si>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</si>
  <si>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</si>
  <si>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</si>
  <si>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</si>
  <si>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</si>
  <si>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</si>
  <si>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</si>
  <si>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</si>
  <si>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</si>
  <si>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</si>
  <si>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</si>
  <si>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</si>
  <si>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</si>
  <si>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</si>
  <si>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</si>
  <si>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</si>
  <si>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</si>
  <si>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</si>
  <si>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</si>
  <si>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</si>
  <si>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</si>
  <si>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</si>
  <si>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</si>
  <si>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</si>
  <si>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</si>
  <si>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</si>
  <si>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</si>
  <si>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</si>
  <si>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</si>
  <si>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</si>
  <si>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</si>
  <si>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</si>
  <si>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</si>
  <si>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</si>
  <si>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</si>
  <si>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</si>
  <si>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</si>
  <si>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</si>
  <si>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</si>
  <si>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</si>
  <si>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</si>
  <si>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</si>
  <si>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</si>
  <si>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</si>
  <si>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</si>
  <si>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</si>
  <si>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</si>
  <si>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</si>
  <si>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</si>
  <si>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</si>
  <si>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</si>
  <si>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</si>
  <si>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</si>
  <si>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</si>
  <si>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</si>
  <si>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</si>
  <si>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</si>
  <si>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</si>
  <si>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</si>
  <si>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</si>
  <si>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</si>
  <si>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</si>
  <si>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</si>
  <si>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</si>
  <si>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</si>
  <si>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</si>
  <si>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</si>
  <si>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</si>
  <si>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</si>
  <si>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</si>
  <si>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</si>
  <si>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</si>
  <si>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</si>
  <si>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</si>
  <si>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</si>
  <si>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</si>
  <si>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</si>
  <si>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</si>
  <si>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</si>
  <si>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</si>
  <si>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</si>
  <si>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</si>
  <si>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</si>
  <si>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</si>
  <si>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</si>
  <si>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</si>
  <si>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</si>
  <si>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</si>
  <si>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</si>
  <si>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</si>
  <si>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</si>
  <si>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</si>
  <si>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</si>
  <si>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</si>
  <si>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</si>
  <si>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</si>
  <si>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</si>
  <si>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</si>
  <si>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</si>
  <si>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</si>
  <si>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</si>
  <si>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</si>
  <si>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</si>
  <si>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</si>
  <si>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</si>
  <si>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</si>
  <si>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</si>
  <si>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</si>
  <si>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</si>
  <si>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</si>
  <si>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</si>
  <si>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</si>
  <si>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</si>
  <si>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</si>
  <si>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</si>
  <si>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</si>
  <si>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</si>
  <si>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</si>
  <si>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</si>
  <si>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</si>
  <si>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</si>
  <si>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</si>
  <si>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</si>
  <si>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</si>
  <si>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</si>
  <si>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</si>
  <si>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</si>
  <si>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</si>
  <si>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</si>
  <si>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</si>
  <si>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</si>
  <si>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</si>
  <si>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</si>
  <si>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</si>
  <si>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</si>
  <si>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</si>
  <si>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</si>
  <si>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</si>
  <si>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</si>
  <si>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</si>
  <si>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</si>
  <si>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</si>
  <si>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</si>
  <si>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</si>
  <si>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</si>
  <si>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</si>
  <si>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</si>
  <si>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</si>
  <si>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</si>
  <si>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</si>
  <si>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</si>
  <si>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</si>
  <si>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</si>
  <si>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</si>
  <si>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</si>
  <si>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</si>
  <si>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</si>
  <si>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</si>
  <si>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</si>
  <si>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</si>
  <si>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</si>
  <si>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</si>
  <si>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</si>
  <si>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</si>
  <si>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</si>
  <si>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</si>
  <si>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</si>
  <si>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</si>
  <si>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</si>
  <si>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</si>
  <si>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</si>
  <si>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</si>
  <si>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</si>
  <si>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</si>
  <si>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</si>
  <si>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</si>
  <si>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</si>
  <si>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</si>
  <si>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</si>
  <si>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</si>
  <si>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</si>
  <si>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</si>
  <si>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</si>
  <si>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</si>
  <si>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</si>
  <si>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</si>
  <si>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</si>
  <si>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</si>
  <si>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</si>
  <si>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</si>
  <si>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</si>
  <si>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</si>
  <si>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</si>
  <si>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</si>
  <si>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</si>
  <si>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</si>
  <si>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</si>
  <si>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</si>
  <si>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</si>
  <si>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</si>
  <si>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</si>
  <si>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</si>
  <si>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</si>
  <si>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</si>
  <si>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</si>
  <si>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</si>
  <si>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</si>
  <si>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</si>
  <si>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</si>
  <si>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</si>
  <si>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</si>
  <si>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</si>
  <si>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</si>
  <si>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</si>
  <si>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</si>
  <si>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</si>
  <si>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</si>
  <si>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</si>
  <si>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</si>
  <si>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</si>
  <si>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</si>
  <si>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</si>
  <si>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</si>
  <si>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</si>
  <si>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</si>
  <si>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</si>
  <si>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</si>
  <si>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</si>
  <si>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</si>
  <si>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</si>
  <si>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</si>
  <si>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</si>
  <si>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</si>
  <si>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</si>
  <si>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</si>
  <si>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</si>
  <si>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</si>
  <si>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</si>
  <si>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</si>
  <si>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</si>
  <si>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</si>
  <si>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</si>
  <si>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</si>
  <si>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</si>
  <si>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</si>
  <si>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</si>
  <si>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</si>
  <si>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</si>
  <si>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</si>
  <si>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</si>
  <si>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</si>
  <si>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</si>
  <si>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</si>
  <si>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</si>
  <si>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</si>
  <si>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</si>
  <si>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</si>
  <si>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</si>
  <si>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</si>
  <si>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</si>
  <si>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</si>
  <si>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</si>
  <si>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</si>
  <si>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</si>
  <si>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</si>
  <si>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</si>
  <si>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</si>
  <si>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</si>
  <si>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</si>
  <si>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</si>
  <si>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</si>
  <si>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</si>
  <si>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</si>
  <si>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</si>
  <si>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</si>
  <si>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</si>
  <si>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</si>
  <si>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</si>
  <si>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</si>
  <si>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</si>
  <si>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</si>
  <si>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</si>
  <si>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</si>
  <si>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</si>
  <si>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</si>
  <si>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</si>
  <si>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</si>
  <si>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</si>
  <si>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</si>
  <si>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</si>
  <si>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</si>
  <si>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</si>
  <si>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</si>
  <si>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</si>
  <si>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</si>
  <si>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</si>
  <si>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</si>
  <si>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</si>
  <si>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</si>
  <si>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</si>
  <si>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</si>
  <si>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</si>
  <si>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</si>
  <si>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</si>
  <si>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</si>
  <si>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</si>
  <si>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</si>
  <si>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</si>
  <si>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</si>
  <si>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</si>
  <si>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</si>
  <si>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</si>
  <si>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</si>
  <si>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</si>
  <si>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</si>
  <si>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</si>
  <si>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</si>
  <si>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</si>
  <si>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</si>
  <si>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</si>
  <si>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</si>
  <si>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</si>
  <si>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</si>
  <si>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</si>
  <si>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</si>
  <si>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</si>
  <si>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</si>
  <si>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</si>
  <si>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</si>
  <si>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</si>
  <si>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</si>
  <si>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</si>
  <si>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</si>
  <si>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</si>
  <si>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</si>
  <si>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</si>
  <si>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</si>
  <si>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</si>
  <si>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</si>
  <si>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</si>
  <si>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</si>
  <si>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</si>
  <si>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</si>
  <si>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</si>
  <si>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</si>
  <si>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</si>
  <si>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</si>
  <si>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</si>
  <si>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</si>
  <si>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</si>
  <si>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</si>
  <si>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</si>
  <si>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</si>
  <si>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</si>
  <si>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</si>
  <si>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</si>
  <si>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</si>
  <si>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</si>
  <si>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</si>
  <si>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</si>
  <si>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</si>
  <si>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</si>
  <si>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</si>
  <si>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</si>
  <si>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</si>
  <si>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</si>
  <si>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</si>
  <si>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</si>
  <si>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</si>
  <si>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</si>
  <si>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</si>
  <si>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</si>
  <si>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</si>
  <si>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</si>
  <si>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</si>
  <si>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</si>
  <si>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</si>
  <si>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</si>
  <si>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</si>
  <si>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</si>
  <si>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</si>
  <si>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</si>
  <si>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</si>
  <si>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</si>
  <si>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</si>
  <si>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</si>
  <si>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</si>
  <si>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</si>
  <si>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</si>
  <si>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</si>
  <si>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</si>
  <si>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</si>
  <si>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</si>
  <si>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</si>
  <si>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</si>
  <si>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</si>
  <si>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</si>
  <si>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</si>
  <si>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</si>
  <si>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</si>
  <si>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</si>
  <si>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</si>
  <si>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</si>
  <si>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</si>
  <si>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</si>
  <si>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</si>
  <si>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</si>
  <si>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</si>
  <si>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</si>
  <si>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</si>
  <si>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</si>
  <si>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</si>
  <si>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</si>
  <si>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</si>
  <si>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</si>
  <si>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</si>
  <si>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</si>
  <si>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</si>
  <si>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</si>
  <si>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</si>
  <si>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</si>
  <si>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</si>
  <si>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</si>
  <si>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</si>
  <si>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</si>
  <si>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</si>
  <si>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</si>
  <si>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</si>
  <si>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</si>
  <si>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</si>
  <si>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</si>
  <si>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</si>
  <si>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</si>
  <si>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</si>
  <si>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</si>
  <si>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</si>
  <si>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</si>
  <si>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</si>
  <si>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</si>
  <si>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</si>
  <si>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</si>
  <si>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</si>
  <si>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</si>
  <si>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</si>
  <si>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</si>
  <si>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</si>
  <si>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</si>
  <si>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</si>
  <si>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</si>
  <si>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</si>
  <si>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</si>
  <si>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</si>
  <si>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</si>
  <si>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</si>
  <si>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</si>
  <si>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</si>
  <si>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</si>
  <si>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</si>
  <si>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</si>
  <si>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</si>
  <si>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</si>
  <si>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</si>
  <si>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</si>
  <si>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</si>
  <si>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</si>
  <si>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</si>
  <si>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</si>
  <si>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</si>
  <si>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</si>
  <si>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</si>
  <si>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</si>
  <si>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</si>
  <si>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</si>
  <si>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</si>
  <si>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</si>
  <si>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</si>
  <si>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</si>
  <si>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</si>
  <si>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</si>
  <si>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</si>
  <si>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</si>
  <si>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</si>
  <si>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</si>
  <si>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</si>
  <si>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</si>
  <si>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</si>
  <si>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</si>
  <si>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</si>
  <si>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</si>
  <si>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</si>
  <si>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</si>
  <si>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</si>
  <si>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</si>
  <si>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</si>
  <si>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</si>
  <si>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</si>
  <si>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</si>
  <si>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</si>
  <si>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</si>
  <si>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</si>
  <si>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</si>
  <si>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</si>
  <si>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</si>
  <si>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</si>
  <si>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</si>
  <si>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</si>
  <si>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</si>
  <si>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</si>
  <si>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</si>
  <si>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</si>
  <si>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</si>
  <si>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</si>
  <si>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</si>
  <si>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</si>
  <si>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</si>
  <si>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</si>
  <si>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</si>
  <si>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</si>
  <si>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</si>
  <si>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</si>
  <si>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</si>
  <si>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</si>
  <si>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</si>
  <si>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</si>
  <si>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</si>
  <si>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</si>
  <si>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</si>
  <si>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</si>
  <si>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</si>
  <si>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</si>
  <si>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</si>
  <si>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</si>
  <si>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</si>
  <si>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</si>
  <si>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</si>
  <si>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</si>
  <si>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</si>
  <si>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</si>
  <si>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</si>
  <si>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</si>
  <si>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</si>
  <si>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</si>
  <si>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</si>
  <si>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</si>
  <si>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</si>
  <si>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</si>
  <si>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</si>
  <si>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</si>
  <si>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</si>
  <si>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</si>
  <si>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</si>
  <si>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</si>
  <si>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</si>
  <si>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</si>
  <si>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</si>
  <si>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</si>
  <si>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</si>
  <si>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</si>
  <si>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</si>
  <si>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</si>
  <si>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</si>
  <si>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</si>
  <si>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</si>
  <si>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</si>
  <si>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</si>
  <si>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</si>
  <si>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</si>
  <si>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</si>
  <si>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</si>
  <si>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</si>
  <si>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</si>
  <si>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</si>
  <si>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</si>
  <si>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</si>
  <si>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</si>
  <si>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</si>
  <si>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</si>
  <si>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</si>
  <si>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</si>
  <si>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</si>
  <si>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</si>
  <si>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</si>
  <si>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</si>
  <si>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</si>
  <si>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</si>
  <si>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</si>
  <si>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</si>
  <si>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</si>
  <si>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</si>
  <si>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</si>
  <si>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</si>
  <si>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</si>
  <si>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</si>
  <si>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</si>
  <si>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</si>
  <si>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</si>
  <si>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</si>
  <si>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</si>
  <si>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</si>
  <si>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</si>
  <si>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</si>
  <si>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</si>
  <si>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</si>
  <si>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</si>
  <si>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</si>
  <si>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</si>
  <si>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</si>
  <si>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</si>
  <si>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</si>
  <si>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</si>
  <si>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</si>
  <si>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</si>
  <si>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</si>
  <si>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</si>
  <si>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</si>
  <si>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</si>
  <si>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</si>
  <si>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</si>
  <si>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</si>
  <si>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</si>
  <si>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</si>
  <si>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</si>
  <si>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</si>
  <si>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</si>
  <si>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</si>
  <si>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</si>
  <si>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</si>
  <si>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</si>
  <si>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</si>
  <si>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</si>
  <si>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</si>
  <si>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</si>
  <si>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</si>
  <si>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</si>
  <si>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</si>
  <si>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</si>
  <si>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</si>
  <si>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</si>
  <si>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</si>
  <si>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</si>
  <si>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</si>
  <si>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</si>
  <si>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</si>
  <si>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</si>
  <si>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</si>
  <si>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</si>
  <si>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</si>
  <si>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</si>
  <si>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</si>
  <si>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</si>
  <si>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</si>
  <si>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</si>
  <si>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</si>
  <si>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</si>
  <si>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</si>
  <si>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</si>
  <si>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</si>
  <si>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</si>
  <si>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</si>
  <si>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</si>
  <si>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</si>
  <si>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</si>
  <si>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</si>
  <si>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</si>
  <si>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</si>
  <si>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</si>
  <si>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</si>
  <si>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</si>
  <si>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</si>
  <si>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</si>
  <si>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</si>
  <si>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</si>
  <si>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</si>
  <si>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</si>
  <si>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</si>
  <si>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</si>
  <si>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</si>
  <si>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</si>
  <si>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</si>
  <si>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</si>
  <si>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</si>
  <si>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</si>
  <si>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</si>
  <si>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</si>
  <si>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</si>
  <si>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</si>
  <si>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</si>
  <si>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</si>
  <si>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</si>
  <si>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</si>
  <si>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</si>
  <si>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</si>
  <si>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</si>
  <si>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</si>
  <si>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</si>
  <si>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</si>
  <si>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</si>
  <si>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</si>
  <si>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</si>
  <si>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</si>
  <si>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</si>
  <si>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</si>
  <si>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</si>
  <si>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</si>
  <si>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</si>
  <si>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</si>
  <si>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</si>
  <si>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</si>
  <si>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</si>
  <si>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</si>
  <si>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</si>
  <si>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</si>
  <si>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</si>
  <si>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</si>
  <si>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</si>
  <si>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</si>
  <si>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</si>
  <si>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</si>
  <si>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</si>
  <si>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</si>
  <si>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</si>
  <si>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</si>
  <si>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</si>
  <si>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</si>
  <si>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</si>
  <si>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</si>
  <si>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</si>
  <si>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</si>
  <si>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</si>
  <si>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</si>
  <si>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</si>
  <si>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</si>
  <si>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</si>
  <si>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</si>
  <si>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</si>
  <si>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</si>
  <si>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</si>
  <si>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</si>
  <si>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</si>
  <si>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</si>
  <si>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</si>
  <si>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</si>
  <si>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</si>
  <si>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</si>
  <si>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</si>
  <si>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</si>
  <si>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</si>
  <si>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</si>
  <si>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</si>
  <si>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</si>
  <si>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</si>
  <si>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</si>
  <si>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</si>
  <si>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</si>
  <si>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</si>
  <si>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</si>
  <si>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</si>
  <si>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</si>
  <si>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</si>
  <si>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</si>
  <si>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</si>
  <si>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</si>
  <si>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</si>
  <si>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</si>
  <si>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</si>
  <si>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</si>
  <si>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</si>
  <si>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</si>
  <si>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</si>
  <si>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</si>
  <si>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</si>
  <si>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</si>
  <si>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</si>
  <si>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</si>
  <si>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</si>
  <si>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</si>
  <si>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</si>
  <si>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</si>
  <si>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</si>
  <si>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</si>
  <si>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</si>
  <si>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</si>
  <si>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</si>
  <si>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</si>
  <si>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</si>
  <si>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</si>
  <si>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</si>
  <si>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</si>
  <si>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</si>
  <si>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</si>
  <si>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</si>
  <si>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</si>
  <si>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</si>
  <si>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</si>
  <si>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</si>
  <si>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</si>
  <si>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</si>
  <si>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</si>
  <si>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</si>
  <si>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</si>
  <si>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</si>
  <si>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</si>
  <si>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</si>
  <si>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</si>
  <si>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</si>
  <si>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</si>
  <si>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</si>
  <si>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</si>
  <si>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</si>
  <si>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</si>
  <si>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</si>
  <si>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</si>
  <si>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</si>
  <si>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</si>
  <si>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</si>
  <si>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</si>
  <si>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</si>
  <si>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</si>
  <si>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</si>
  <si>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</si>
  <si>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</si>
  <si>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</si>
  <si>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</si>
  <si>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</si>
  <si>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</si>
  <si>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</si>
  <si>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</si>
  <si>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</si>
  <si>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</si>
  <si>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</si>
  <si>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</si>
  <si>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</si>
  <si>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</si>
  <si>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</si>
  <si>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</si>
  <si>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</si>
  <si>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</si>
  <si>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</si>
  <si>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</si>
  <si>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</si>
  <si>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</si>
  <si>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</si>
  <si>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</si>
  <si>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</si>
  <si>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</si>
  <si>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</si>
  <si>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</si>
  <si>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</si>
  <si>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</si>
  <si>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</si>
  <si>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</si>
  <si>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</si>
  <si>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</si>
  <si>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</si>
  <si>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</si>
  <si>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</si>
  <si>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</si>
  <si>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</si>
  <si>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</si>
  <si>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</si>
  <si>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</si>
  <si>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</si>
  <si>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</si>
  <si>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</si>
  <si>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</si>
  <si>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</si>
  <si>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</si>
  <si>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</si>
  <si>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</si>
  <si>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</si>
  <si>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</si>
  <si>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</si>
  <si>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</si>
  <si>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</si>
  <si>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</si>
  <si>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</si>
  <si>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</si>
  <si>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</si>
  <si>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</si>
  <si>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</si>
  <si>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</si>
  <si>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</si>
  <si>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</si>
  <si>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</si>
  <si>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</si>
  <si>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</si>
  <si>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</si>
  <si>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</si>
  <si>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</si>
  <si>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</si>
  <si>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</si>
  <si>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</si>
  <si>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</si>
  <si>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</si>
  <si>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</si>
  <si>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</si>
  <si>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</si>
  <si>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</si>
  <si>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</si>
  <si>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</si>
  <si>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</si>
  <si>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</si>
  <si>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</si>
  <si>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</si>
  <si>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</si>
  <si>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</si>
  <si>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</si>
  <si>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</si>
  <si>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</si>
  <si>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</si>
  <si>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</si>
  <si>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</si>
  <si>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</si>
  <si>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</si>
  <si>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</si>
  <si>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</si>
  <si>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</si>
  <si>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</si>
  <si>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</si>
  <si>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</si>
  <si>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</si>
  <si>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</si>
  <si>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</si>
  <si>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</si>
  <si>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</si>
  <si>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</si>
  <si>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</si>
  <si>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</si>
  <si>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</si>
  <si>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</si>
  <si>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</si>
  <si>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</si>
  <si>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</si>
  <si>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</si>
  <si>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</si>
  <si>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</si>
  <si>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</si>
  <si>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</si>
  <si>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</si>
  <si>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</si>
  <si>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</si>
  <si>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</si>
  <si>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</si>
  <si>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</si>
  <si>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</si>
  <si>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</si>
  <si>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</si>
  <si>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</si>
  <si>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</si>
  <si>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</si>
  <si>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</si>
  <si>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</si>
  <si>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</si>
  <si>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</si>
  <si>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</si>
  <si>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</si>
  <si>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</si>
  <si>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</si>
  <si>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</si>
  <si>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</si>
  <si>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</si>
  <si>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</si>
  <si>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</si>
  <si>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</si>
  <si>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</si>
  <si>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</si>
  <si>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</si>
  <si>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</si>
  <si>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</si>
  <si>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</si>
  <si>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</si>
  <si>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</si>
  <si>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</si>
  <si>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</si>
  <si>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</si>
  <si>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</si>
  <si>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</si>
  <si>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</si>
  <si>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</si>
  <si>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</si>
  <si>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</si>
  <si>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</si>
  <si>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</si>
  <si>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</si>
  <si>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</si>
  <si>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</si>
  <si>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</si>
  <si>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</si>
  <si>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</si>
  <si>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</si>
  <si>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</si>
  <si>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</si>
  <si>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</si>
  <si>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</si>
  <si>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</si>
  <si>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</si>
  <si>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</si>
  <si>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</si>
  <si>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</si>
  <si>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</si>
  <si>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</si>
  <si>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</si>
  <si>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</si>
  <si>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</si>
  <si>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</si>
  <si>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</si>
  <si>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</si>
  <si>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</si>
  <si>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</si>
  <si>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</si>
  <si>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</si>
  <si>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</si>
  <si>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</si>
  <si>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</si>
  <si>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</si>
  <si>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</si>
  <si>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</si>
  <si>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</si>
  <si>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</si>
  <si>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</si>
  <si>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</si>
  <si>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</si>
  <si>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</si>
  <si>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</si>
  <si>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</si>
  <si>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</si>
  <si>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</si>
  <si>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</si>
  <si>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</si>
  <si>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</si>
  <si>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</si>
  <si>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</si>
  <si>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</si>
  <si>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</si>
  <si>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</si>
  <si>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</si>
  <si>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</si>
  <si>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</si>
  <si>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</si>
  <si>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</si>
  <si>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</si>
  <si>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</si>
  <si>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</si>
  <si>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</si>
  <si>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</si>
  <si>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</si>
  <si>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</si>
  <si>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</si>
  <si>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</si>
  <si>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</si>
  <si>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</si>
  <si>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</si>
  <si>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</si>
  <si>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</si>
  <si>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</si>
  <si>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</si>
  <si>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</si>
  <si>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</si>
  <si>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</si>
  <si>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</si>
  <si>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</si>
  <si>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</si>
  <si>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</si>
  <si>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</si>
  <si>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</si>
  <si>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</si>
  <si>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</si>
  <si>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Count of TX ID</t>
  </si>
  <si>
    <t>Sum of Quantity</t>
  </si>
  <si>
    <t>Sum of Amount</t>
  </si>
  <si>
    <t>Average of Rating C</t>
  </si>
  <si>
    <t>Visual of Display</t>
  </si>
  <si>
    <t xml:space="preserve">Orders </t>
  </si>
  <si>
    <t xml:space="preserve">Avg. Days </t>
  </si>
  <si>
    <t>Average of Days to Deliver</t>
  </si>
  <si>
    <t>For Trends</t>
  </si>
  <si>
    <t>Row Labels</t>
  </si>
  <si>
    <t>Grand Total</t>
  </si>
  <si>
    <t>Column Labels</t>
  </si>
  <si>
    <t>Female</t>
  </si>
  <si>
    <t>Male</t>
  </si>
  <si>
    <t>Other</t>
  </si>
  <si>
    <t>Unknown</t>
  </si>
  <si>
    <t>For Matrix</t>
  </si>
  <si>
    <t>6-10</t>
  </si>
  <si>
    <t xml:space="preserve">More than 10 </t>
  </si>
  <si>
    <t>California Total</t>
  </si>
  <si>
    <t>Map Chart Quantity</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</si>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</sst>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
  </numFmts>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9"/>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bottom style="thin">
        <color indexed="64"/>
      </bottom>
      <diagonal/>
    </border>
    <border>
      <left/>
      <right/>
      <top/>
      <bottom style="thin">
        <color indexed="64"/>
      </bottom>
      <diagonal/>
    </border>
    <border>
      <left style="thin">
        <color theme="0"/>
      </left>
      <right style="thin">
        <color theme="0"/>
      </right>
      <top style="thin">
        <color indexed="64"/>
      </top>
      <bottom style="thin">
        <color theme="0"/>
      </bottom>
      <diagonal/>
    </border>
    <border>
      <left/>
      <right/>
      <top style="thin">
        <color indexed="64"/>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2" fillId="0" borderId="1" xfId="1" applyNumberFormat="1" applyFont="1" applyBorder="1"/>
    <xf numFmtId="0" fontId="0" fillId="0" borderId="1" xfId="0" applyBorder="1"/>
    <xf numFmtId="165" fontId="2" fillId="0" borderId="3" xfId="1" applyNumberFormat="1" applyFont="1" applyBorder="1"/>
    <xf numFmtId="165" fontId="2" fillId="0" borderId="4" xfId="1" applyNumberFormat="1" applyFont="1" applyBorder="1"/>
    <xf numFmtId="165" fontId="2" fillId="0" borderId="2" xfId="1" applyNumberFormat="1" applyFont="1" applyBorder="1"/>
    <xf numFmtId="165" fontId="2" fillId="0" borderId="5" xfId="1" applyNumberFormat="1" applyFont="1" applyBorder="1"/>
    <xf numFmtId="165" fontId="2" fillId="0" borderId="6" xfId="1" applyNumberFormat="1" applyFont="1" applyBorder="1"/>
    <xf numFmtId="165" fontId="2" fillId="0" borderId="7" xfId="1" applyNumberFormat="1" applyFont="1" applyBorder="1"/>
    <xf numFmtId="165" fontId="2" fillId="0" borderId="8" xfId="1" applyNumberFormat="1" applyFont="1" applyBorder="1"/>
  </cellXfs>
  <cellStyles count="2">
    <cellStyle name="Normal" xfId="0" builtinId="0"/>
    <cellStyle name="Percent" xfId="1" builtinId="5"/>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colors>
    <mruColors>
      <color rgb="FFB0F999"/>
      <color rgb="FF5CC83E"/>
      <color rgb="FF34D256"/>
      <color rgb="FFEBFCE0"/>
      <color rgb="FFC3E1FD"/>
      <color rgb="FF0F64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[ecommerce-blank.xlsx]Pivot_Order_Size!PivotTable4</c:name>
    <c:fmtId val="18"/>
  </c:pivotSource>
  <c:chart>
    <c:title>
      <c:tx>
        <c:rich>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r>
              <a:rPr lang="en-IN" sz="1200" b="1"/>
              <a:t>How many they buy?</a:t>
            </a:r>
          </a:p>
        </c:rich>
      </c:tx>
      <c:overlay val="0"/>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863837408822745E-2"/>
          <c:y val="6.4814642080038259E-2"/>
          <c:w val="0.89030796150481195"/>
          <c:h val="0.79118839311752698"/>
        </c:manualLayout>
      </c:layout>
      <c:barChart>
        <c:barDir val="col"/>
        <c:grouping val="clustered"/>
        <c:varyColors val="0"/>
        <c:ser>
          <c:idx val="0"/>
          <c:order val="0"/>
          <c:tx>
            <c:strRef>
              <c:f>Pivot_Order_Size!$B$3</c:f>
              <c:strCache>
                <c:ptCount val="1"/>
                <c:pt idx="0">
                  <c:v>Total</c:v>
                </c:pt>
              </c:strCache>
            </c:strRef>
          </c:tx>
          <c:spPr>
            <a:solidFill>
              <a:schemeClr val="tx2">
                <a:lumMod val="90000"/>
                <a:lumOff val="10000"/>
              </a:schemeClr>
            </a:solidFill>
            <a:ln>
              <a:noFill/>
            </a:ln>
            <a:effectLst/>
          </c:spPr>
          <c:invertIfNegative val="0"/>
          <c:cat>
            <c:strRef>
              <c:f>Pivot_Order_Size!$A$4:$A$11</c:f>
              <c:strCache>
                <c:ptCount val="7"/>
                <c:pt idx="0">
                  <c:v>1</c:v>
                </c:pt>
                <c:pt idx="1">
                  <c:v>2</c:v>
                </c:pt>
                <c:pt idx="2">
                  <c:v>3</c:v>
                </c:pt>
                <c:pt idx="3">
                  <c:v>4</c:v>
                </c:pt>
                <c:pt idx="4">
                  <c:v>5</c:v>
                </c:pt>
                <c:pt idx="5">
                  <c:v>6-10</c:v>
                </c:pt>
                <c:pt idx="6">
                  <c:v>More than 10 </c:v>
                </c:pt>
              </c:strCache>
            </c:strRef>
          </c:cat>
          <c:val>
            <c:numRef>
              <c:f>Pivot_Order_Size!$B$4:$B$11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2-155A-4CF2-9123-11914F803AA9}"/>
            </c:ext>
          </c:extLst>
        </c:ser>
        <c:dLbls>
          <c:showLegendKey val="0"/>
          <c:showVal val="0"/>
          <c:showCatName val="0"/>
          <c:showSerName val="0"/>
          <c:showPercent val="0"/>
          <c:showBubbleSize val="0"/>
        </c:dLbls>
        <c:gapWidth val="2"/>
        <c:overlap val="-27"/>
        <c:axId val="616333327"/>
        <c:axId val="448112111"/>
      </c:barChart>
      <c:catAx>
        <c:axId val="61633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48112111"/>
        <c:crosses val="autoZero"/>
        <c:auto val="1"/>
        <c:lblAlgn val="ctr"/>
        <c:lblOffset val="100"/>
        <c:noMultiLvlLbl val="0"/>
      </c:catAx>
      <c:valAx>
        <c:axId val="448112111"/>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16333327"/>
        <c:crosses val="autoZero"/>
        <c:crossBetween val="between"/>
      </c:valAx>
      <c:spPr>
        <a:solidFill>
          <a:schemeClr val="bg1"/>
        </a:solidFill>
        <a:ln>
          <a:noFill/>
        </a:ln>
        <a:effectLst/>
      </c:spPr>
    </c:plotArea>
    <c:plotVisOnly val="1"/>
    <c:dispBlanksAs val="gap"/>
    <c:showDLblsOverMax val="0"/>
    <c:extLst/>
  </c:chart>
  <c:spPr>
    <a:solidFill>
      <a:schemeClr val="bg1"/>
    </a:solidFill>
    <a:ln w="12700" cap="flat" cmpd="sng" algn="ctr">
      <a:noFill/>
      <a:prstDash val="solid"/>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[ecommerce-blank.xlsx]KPI_Calculations!PivotTable2</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Last 13 Week Trends - Qty &amp; Amount</a:t>
            </a:r>
          </a:p>
        </c:rich>
      </c:tx>
      <c:layout>
        <c:manualLayout>
          <c:xMode val="edge"/>
          <c:yMode val="edge"/>
          <c:x val="0.23249495601326006"/>
          <c:y val="1.59695865302196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tx2">
                <a:lumMod val="90000"/>
                <a:lumOff val="10000"/>
              </a:schemeClr>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KPI_Calculations!$B$8</c:f>
              <c:strCache>
                <c:ptCount val="1"/>
                <c:pt idx="0">
                  <c:v>Sum of Quantity</c:v>
                </c:pt>
              </c:strCache>
            </c:strRef>
          </c:tx>
          <c:spPr>
            <a:ln w="28575" cap="rnd">
              <a:solidFill>
                <a:schemeClr val="tx2">
                  <a:lumMod val="90000"/>
                  <a:lumOff val="10000"/>
                </a:schemeClr>
              </a:solidFill>
              <a:round/>
            </a:ln>
            <a:effectLst/>
          </c:spPr>
          <c:marker>
            <c:symbol val="circle"/>
            <c:size val="5"/>
            <c:spPr>
              <a:solidFill>
                <a:schemeClr val="accent6"/>
              </a:solidFill>
              <a:ln w="9525">
                <a:solidFill>
                  <a:schemeClr val="accent6"/>
                </a:solidFill>
              </a:ln>
              <a:effectLst/>
            </c:spPr>
          </c:marker>
          <c:cat>
            <c:strRef>
              <c:f>KPI_Calculations!$A$9:$A$22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KPI_Calculations!$B$9:$B$22</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D75C-4691-93EB-D8652983361F}"/>
            </c:ext>
          </c:extLst>
        </c:ser>
        <c:dLbls>
          <c:showLegendKey val="0"/>
          <c:showVal val="0"/>
          <c:showCatName val="0"/>
          <c:showSerName val="0"/>
          <c:showPercent val="0"/>
          <c:showBubbleSize val="0"/>
        </c:dLbls>
        <c:marker val="1"/>
        <c:smooth val="0"/>
        <c:axId val="549207935"/>
        <c:axId val="448144751"/>
      </c:lineChart>
      <c:lineChart>
        <c:grouping val="standard"/>
        <c:varyColors val="0"/>
        <c:ser>
          <c:idx val="1"/>
          <c:order val="1"/>
          <c:tx>
            <c:strRef>
              <c:f>KPI_Calculations!$C$8</c:f>
              <c:strCache>
                <c:ptCount val="1"/>
                <c:pt idx="0">
                  <c:v>Sum of Amount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KPI_Calculations!$A$9:$A$22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KPI_Calculations!$C$9:$C$22</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D75C-4691-93EB-D8652983361F}"/>
            </c:ext>
          </c:extLst>
        </c:ser>
        <c:dLbls>
          <c:showLegendKey val="0"/>
          <c:showVal val="0"/>
          <c:showCatName val="0"/>
          <c:showSerName val="0"/>
          <c:showPercent val="0"/>
          <c:showBubbleSize val="0"/>
        </c:dLbls>
        <c:marker val="1"/>
        <c:smooth val="0"/>
        <c:axId val="614875247"/>
        <c:axId val="448102031"/>
      </c:lineChart>
      <c:catAx>
        <c:axId val="54920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144751"/>
        <c:crosses val="autoZero"/>
        <c:auto val="1"/>
        <c:lblAlgn val="ctr"/>
        <c:lblOffset val="100"/>
        <c:noMultiLvlLbl val="0"/>
      </c:catAx>
      <c:valAx>
        <c:axId val="448144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207935"/>
        <c:crosses val="autoZero"/>
        <c:crossBetween val="between"/>
      </c:valAx>
      <c:valAx>
        <c:axId val="448102031"/>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875247"/>
        <c:crosses val="max"/>
        <c:crossBetween val="between"/>
      </c:valAx>
      <c:catAx>
        <c:axId val="614875247"/>
        <c:scaling>
          <c:orientation val="minMax"/>
        </c:scaling>
        <c:delete val="1"/>
        <c:axPos val="b"/>
        <c:numFmt formatCode="General" sourceLinked="1"/>
        <c:majorTickMark val="out"/>
        <c:minorTickMark val="none"/>
        <c:tickLblPos val="nextTo"/>
        <c:crossAx val="44810203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[ecommerce-blank.xlsx]Pivot_Product_Gender!PivotTable5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t>Which Products are Popular? Breakdown by Gender</a:t>
            </a:r>
            <a:endParaRPr lang="en-IN" sz="1200" b="1"/>
          </a:p>
        </c:rich>
      </c:tx>
      <c:layout>
        <c:manualLayout>
          <c:xMode val="edge"/>
          <c:yMode val="edge"/>
          <c:x val="7.0032893945944308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693825909324127E-2"/>
          <c:y val="0.13350992342779602"/>
          <c:w val="0.54075750138107603"/>
          <c:h val="0.84150487830828358"/>
        </c:manualLayout>
      </c:layout>
      <c:barChart>
        <c:barDir val="bar"/>
        <c:grouping val="stacked"/>
        <c:varyColors val="0"/>
        <c:ser>
          <c:idx val="0"/>
          <c:order val="0"/>
          <c:tx>
            <c:strRef>
              <c:f>Pivot_Product_Gender!$B$3:$B$4</c:f>
              <c:strCache>
                <c:ptCount val="1"/>
                <c:pt idx="0">
                  <c:v>Female</c:v>
                </c:pt>
              </c:strCache>
            </c:strRef>
          </c:tx>
          <c:spPr>
            <a:solidFill>
              <a:schemeClr val="tx2">
                <a:lumMod val="90000"/>
                <a:lumOff val="10000"/>
              </a:schemeClr>
            </a:solidFill>
            <a:ln>
              <a:noFill/>
            </a:ln>
            <a:effectLst/>
          </c:spPr>
          <c:invertIfNegative val="0"/>
          <c:cat>
            <c:strRef>
              <c:f>Pivot_Product_Gender!$A$5:$A$25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Pivot_Product_Gender!$B$5:$B$25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D889-4D8F-9F8C-DEDD545C3D4C}"/>
            </c:ext>
          </c:extLst>
        </c:ser>
        <c:ser>
          <c:idx val="1"/>
          <c:order val="1"/>
          <c:tx>
            <c:strRef>
              <c:f>Pivot_Product_Gender!$C$3:$C$4</c:f>
              <c:strCache>
                <c:ptCount val="1"/>
                <c:pt idx="0">
                  <c:v>Male</c:v>
                </c:pt>
              </c:strCache>
            </c:strRef>
          </c:tx>
          <c:spPr>
            <a:solidFill>
              <a:schemeClr val="accent1">
                <a:lumMod val="75000"/>
              </a:schemeClr>
            </a:solidFill>
            <a:ln>
              <a:noFill/>
            </a:ln>
            <a:effectLst/>
          </c:spPr>
          <c:invertIfNegative val="0"/>
          <c:cat>
            <c:strRef>
              <c:f>Pivot_Product_Gender!$A$5:$A$25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Pivot_Product_Gender!$C$5:$C$25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D889-4D8F-9F8C-DEDD545C3D4C}"/>
            </c:ext>
          </c:extLst>
        </c:ser>
        <c:ser>
          <c:idx val="2"/>
          <c:order val="2"/>
          <c:tx>
            <c:strRef>
              <c:f>Pivot_Product_Gender!$D$3:$D$4</c:f>
              <c:strCache>
                <c:ptCount val="1"/>
                <c:pt idx="0">
                  <c:v>Other</c:v>
                </c:pt>
              </c:strCache>
            </c:strRef>
          </c:tx>
          <c:spPr>
            <a:solidFill>
              <a:schemeClr val="accent3"/>
            </a:solidFill>
            <a:ln>
              <a:noFill/>
            </a:ln>
            <a:effectLst/>
          </c:spPr>
          <c:invertIfNegative val="0"/>
          <c:cat>
            <c:strRef>
              <c:f>Pivot_Product_Gender!$A$5:$A$25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Pivot_Product_Gender!$D$5:$D$25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D889-4D8F-9F8C-DEDD545C3D4C}"/>
            </c:ext>
          </c:extLst>
        </c:ser>
        <c:ser>
          <c:idx val="3"/>
          <c:order val="3"/>
          <c:tx>
            <c:strRef>
              <c:f>Pivot_Product_Gender!$E$3:$E$4</c:f>
              <c:strCache>
                <c:ptCount val="1"/>
                <c:pt idx="0">
                  <c:v>Unknown</c:v>
                </c:pt>
              </c:strCache>
            </c:strRef>
          </c:tx>
          <c:spPr>
            <a:solidFill>
              <a:schemeClr val="accent5"/>
            </a:solidFill>
            <a:ln>
              <a:noFill/>
            </a:ln>
            <a:effectLst/>
          </c:spPr>
          <c:invertIfNegative val="0"/>
          <c:cat>
            <c:strRef>
              <c:f>Pivot_Product_Gender!$A$5:$A$25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Pivot_Product_Gender!$E$5:$E$25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D889-4D8F-9F8C-DEDD545C3D4C}"/>
            </c:ext>
          </c:extLst>
        </c:ser>
        <c:dLbls>
          <c:showLegendKey val="0"/>
          <c:showVal val="0"/>
          <c:showCatName val="0"/>
          <c:showSerName val="0"/>
          <c:showPercent val="0"/>
          <c:showBubbleSize val="0"/>
        </c:dLbls>
        <c:gapWidth val="50"/>
        <c:overlap val="100"/>
        <c:axId val="644044335"/>
        <c:axId val="448023311"/>
      </c:barChart>
      <c:catAx>
        <c:axId val="644044335"/>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23311"/>
        <c:crosses val="autoZero"/>
        <c:auto val="1"/>
        <c:lblAlgn val="ctr"/>
        <c:lblOffset val="100"/>
        <c:noMultiLvlLbl val="0"/>
      </c:catAx>
      <c:valAx>
        <c:axId val="448023311"/>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04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[ecommerce-blank.xlsx]Pivot_Product_Gender!PivotTable6</c:name>
    <c:fmtId val="16"/>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tx2">
              <a:lumMod val="90000"/>
              <a:lumOff val="10000"/>
            </a:schemeClr>
          </a:solidFill>
          <a:ln w="19050">
            <a:solidFill>
              <a:schemeClr val="lt1"/>
            </a:solidFill>
          </a:ln>
          <a:effectLst/>
        </c:spPr>
        <c:dLbl>
          <c:idx val="0"/>
          <c:layout>
            <c:manualLayout>
              <c:x val="0.31127450980392168"/>
              <c:y val="-0.11076925760611935"/>
            </c:manualLayout>
          </c:layout>
          <c:spPr>
            <a:noFill/>
            <a:ln>
              <a:noFill/>
            </a:ln>
            <a:effectLst/>
          </c:spPr>
          <c:txPr>
            <a:bodyPr rot="0" spcFirstLastPara="1" vertOverflow="clip"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1">
              <a:lumMod val="75000"/>
            </a:schemeClr>
          </a:solidFill>
          <a:ln w="19050">
            <a:solidFill>
              <a:schemeClr val="lt1"/>
            </a:solidFill>
          </a:ln>
          <a:effectLst/>
        </c:spPr>
        <c:dLbl>
          <c:idx val="0"/>
          <c:layout>
            <c:manualLayout>
              <c:x val="0"/>
              <c:y val="0.38076911545453801"/>
            </c:manualLayout>
          </c:layout>
          <c:spPr>
            <a:noFill/>
            <a:ln>
              <a:noFill/>
            </a:ln>
            <a:effectLst/>
          </c:spPr>
          <c:txPr>
            <a:bodyPr rot="0" spcFirstLastPara="1" vertOverflow="clip"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1"/>
          </a:solidFill>
          <a:ln w="19050">
            <a:solidFill>
              <a:schemeClr val="lt1"/>
            </a:solidFill>
          </a:ln>
          <a:effectLst/>
        </c:spPr>
        <c:dLbl>
          <c:idx val="0"/>
          <c:layout>
            <c:manualLayout>
              <c:x val="-0.1245989066859598"/>
              <c:y val="-0.19615378674930747"/>
            </c:manualLayout>
          </c:layout>
          <c:spPr>
            <a:noFill/>
            <a:ln>
              <a:noFill/>
            </a:ln>
            <a:effectLst/>
          </c:spPr>
          <c:txPr>
            <a:bodyPr rot="0" spcFirstLastPara="1" vertOverflow="clip"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5"/>
          </a:solidFill>
          <a:ln w="19050">
            <a:solidFill>
              <a:schemeClr val="lt1"/>
            </a:solidFill>
          </a:ln>
          <a:effectLst/>
        </c:spPr>
        <c:dLbl>
          <c:idx val="0"/>
          <c:layout>
            <c:manualLayout>
              <c:x val="0.10384752933110737"/>
              <c:y val="-0.17999994548759979"/>
            </c:manualLayout>
          </c:layout>
          <c:spPr>
            <a:noFill/>
            <a:ln>
              <a:noFill/>
            </a:ln>
            <a:effectLst/>
          </c:spPr>
          <c:txPr>
            <a:bodyPr rot="0" spcFirstLastPara="1" vertOverflow="clip"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6.1643842265542259E-2"/>
          <c:y val="0.15157480314960631"/>
          <c:w val="0.52144865941631535"/>
          <c:h val="0.65069654754694128"/>
        </c:manualLayout>
      </c:layout>
      <c:doughnutChart>
        <c:varyColors val="1"/>
        <c:ser>
          <c:idx val="0"/>
          <c:order val="0"/>
          <c:tx>
            <c:strRef>
              <c:f>Pivot_Product_Gender!$K$7</c:f>
              <c:strCache>
                <c:ptCount val="1"/>
                <c:pt idx="0">
                  <c:v>Total</c:v>
                </c:pt>
              </c:strCache>
            </c:strRef>
          </c:tx>
          <c:explosion val="3"/>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7985-47C3-95E0-F86DEA4E98B6}"/>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7985-47C3-95E0-F86DEA4E98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85-47C3-95E0-F86DEA4E98B6}"/>
              </c:ext>
            </c:extLst>
          </c:dPt>
          <c:dPt>
            <c:idx val="3"/>
            <c:bubble3D val="0"/>
            <c:spPr>
              <a:solidFill>
                <a:schemeClr val="accent5"/>
              </a:solidFill>
              <a:ln w="19050">
                <a:solidFill>
                  <a:schemeClr val="lt1"/>
                </a:solidFill>
              </a:ln>
              <a:effectLst/>
            </c:spPr>
            <c:extLst>
              <c:ext xmlns:c16="http://schemas.microsoft.com/office/drawing/2014/chart" uri="{C3380CC4-5D6E-409C-BE32-E72D297353CC}">
                <c16:uniqueId val="{00000007-7985-47C3-95E0-F86DEA4E98B6}"/>
              </c:ext>
            </c:extLst>
          </c:dPt>
          <c:dLbls>
            <c:dLbl>
              <c:idx val="0"/>
              <c:layout>
                <c:manualLayout>
                  <c:x val="0.31127450980392168"/>
                  <c:y val="-0.110769257606119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85-47C3-95E0-F86DEA4E98B6}"/>
                </c:ext>
              </c:extLst>
            </c:dLbl>
            <c:dLbl>
              <c:idx val="1"/>
              <c:layout>
                <c:manualLayout>
                  <c:x val="0"/>
                  <c:y val="0.380769115454538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85-47C3-95E0-F86DEA4E98B6}"/>
                </c:ext>
              </c:extLst>
            </c:dLbl>
            <c:dLbl>
              <c:idx val="2"/>
              <c:layout>
                <c:manualLayout>
                  <c:x val="-0.1245989066859598"/>
                  <c:y val="-0.196153786749307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985-47C3-95E0-F86DEA4E98B6}"/>
                </c:ext>
              </c:extLst>
            </c:dLbl>
            <c:dLbl>
              <c:idx val="3"/>
              <c:layout>
                <c:manualLayout>
                  <c:x val="0.10384752933110737"/>
                  <c:y val="-0.179999945487599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985-47C3-95E0-F86DEA4E98B6}"/>
                </c:ext>
              </c:extLst>
            </c:dLbl>
            <c:spPr>
              <a:noFill/>
              <a:ln>
                <a:noFill/>
              </a:ln>
              <a:effectLst/>
            </c:spPr>
            <c:txPr>
              <a:bodyPr rot="0" spcFirstLastPara="1" vertOverflow="clip"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Pivot_Product_Gender!$J$8:$J$12</c:f>
              <c:strCache>
                <c:ptCount val="4"/>
                <c:pt idx="0">
                  <c:v>Female</c:v>
                </c:pt>
                <c:pt idx="1">
                  <c:v>Male</c:v>
                </c:pt>
                <c:pt idx="2">
                  <c:v>Other</c:v>
                </c:pt>
                <c:pt idx="3">
                  <c:v>Unknown</c:v>
                </c:pt>
              </c:strCache>
            </c:strRef>
          </c:cat>
          <c:val>
            <c:numRef>
              <c:f>Pivot_Product_Gender!$K$8:$K$12</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7985-47C3-95E0-F86DEA4E98B6}"/>
            </c:ext>
          </c:extLst>
        </c:ser>
        <c:dLbls>
          <c:showLegendKey val="0"/>
          <c:showVal val="0"/>
          <c:showCatName val="0"/>
          <c:showSerName val="0"/>
          <c:showPercent val="0"/>
          <c:showBubbleSize val="0"/>
          <c:showLeaderLines val="1"/>
        </c:dLbls>
        <c:firstSliceAng val="0"/>
        <c:holeSize val="4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[ecommerce-blank.xlsx]Pivot_Items_Per_Order!PivotTable9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How long we take to 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noFill/>
          </a:ln>
          <a:effectLst/>
        </c:spPr>
      </c:pivotFmt>
    </c:pivotFmts>
    <c:plotArea>
      <c:layout>
        <c:manualLayout>
          <c:layoutTarget val="inner"/>
          <c:xMode val="edge"/>
          <c:yMode val="edge"/>
          <c:x val="8.206746910777156E-2"/>
          <c:y val="7.0922025421357809E-2"/>
          <c:w val="0.88624528604032826"/>
          <c:h val="0.75802633496751826"/>
        </c:manualLayout>
      </c:layout>
      <c:barChart>
        <c:barDir val="col"/>
        <c:grouping val="clustered"/>
        <c:varyColors val="0"/>
        <c:ser>
          <c:idx val="0"/>
          <c:order val="0"/>
          <c:tx>
            <c:strRef>
              <c:f>Pivot_Items_Per_Order!$B$3</c:f>
              <c:strCache>
                <c:ptCount val="1"/>
                <c:pt idx="0">
                  <c:v>Total</c:v>
                </c:pt>
              </c:strCache>
            </c:strRef>
          </c:tx>
          <c:spPr>
            <a:solidFill>
              <a:schemeClr val="tx2">
                <a:lumMod val="90000"/>
                <a:lumOff val="10000"/>
              </a:schemeClr>
            </a:solidFill>
            <a:ln>
              <a:noFill/>
            </a:ln>
            <a:effectLst/>
          </c:spPr>
          <c:invertIfNegative val="0"/>
          <c:cat>
            <c:strRef>
              <c:f>Pivot_Items_Per_Order!$A$4:$A$19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Pivot_Items_Per_Order!$B$4:$B$19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6C74-414F-B914-4EFFE6081926}"/>
            </c:ext>
          </c:extLst>
        </c:ser>
        <c:dLbls>
          <c:showLegendKey val="0"/>
          <c:showVal val="0"/>
          <c:showCatName val="0"/>
          <c:showSerName val="0"/>
          <c:showPercent val="0"/>
          <c:showBubbleSize val="0"/>
        </c:dLbls>
        <c:gapWidth val="10"/>
        <c:overlap val="-27"/>
        <c:axId val="659376191"/>
        <c:axId val="448061231"/>
      </c:barChart>
      <c:catAx>
        <c:axId val="65937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61231"/>
        <c:crosses val="autoZero"/>
        <c:auto val="1"/>
        <c:lblAlgn val="ctr"/>
        <c:lblOffset val="100"/>
        <c:noMultiLvlLbl val="0"/>
      </c:catAx>
      <c:valAx>
        <c:axId val="448061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37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[ecommerce-blank.xlsx]Pivot_Monthly_Ratings!PivotTable10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How satisfied are our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Pivot_Monthly_Ratings!$B$3:$B$4</c:f>
              <c:strCache>
                <c:ptCount val="1"/>
                <c:pt idx="0">
                  <c:v>1</c:v>
                </c:pt>
              </c:strCache>
            </c:strRef>
          </c:tx>
          <c:spPr>
            <a:solidFill>
              <a:schemeClr val="accent1"/>
            </a:solidFill>
            <a:ln>
              <a:noFill/>
            </a:ln>
            <a:effectLst/>
          </c:spPr>
          <c:invertIfNegative val="0"/>
          <c:cat>
            <c:strRef>
              <c:f>Pivot_Monthly_Ratings!$A$5:$A$8</c:f>
              <c:strCache>
                <c:ptCount val="3"/>
                <c:pt idx="0">
                  <c:v>Jan</c:v>
                </c:pt>
                <c:pt idx="1">
                  <c:v>Feb</c:v>
                </c:pt>
                <c:pt idx="2">
                  <c:v>Mar</c:v>
                </c:pt>
              </c:strCache>
            </c:strRef>
          </c:cat>
          <c:val>
            <c:numRef>
              <c:f>Pivot_Monthly_Ratings!$B$5:$B$8</c:f>
              <c:numCache>
                <c:formatCode>General</c:formatCode>
                <c:ptCount val="3"/>
                <c:pt idx="0">
                  <c:v>7</c:v>
                </c:pt>
                <c:pt idx="1">
                  <c:v>8</c:v>
                </c:pt>
                <c:pt idx="2">
                  <c:v>6</c:v>
                </c:pt>
              </c:numCache>
            </c:numRef>
          </c:val>
          <c:extLst>
            <c:ext xmlns:c16="http://schemas.microsoft.com/office/drawing/2014/chart" uri="{C3380CC4-5D6E-409C-BE32-E72D297353CC}">
              <c16:uniqueId val="{00000000-CC02-4B91-862A-397D8BD2985E}"/>
            </c:ext>
          </c:extLst>
        </c:ser>
        <c:ser>
          <c:idx val="1"/>
          <c:order val="1"/>
          <c:tx>
            <c:strRef>
              <c:f>Pivot_Monthly_Ratings!$C$3:$C$4</c:f>
              <c:strCache>
                <c:ptCount val="1"/>
                <c:pt idx="0">
                  <c:v>2</c:v>
                </c:pt>
              </c:strCache>
            </c:strRef>
          </c:tx>
          <c:spPr>
            <a:solidFill>
              <a:schemeClr val="accent2"/>
            </a:solidFill>
            <a:ln>
              <a:noFill/>
            </a:ln>
            <a:effectLst/>
          </c:spPr>
          <c:invertIfNegative val="0"/>
          <c:cat>
            <c:strRef>
              <c:f>Pivot_Monthly_Ratings!$A$5:$A$8</c:f>
              <c:strCache>
                <c:ptCount val="3"/>
                <c:pt idx="0">
                  <c:v>Jan</c:v>
                </c:pt>
                <c:pt idx="1">
                  <c:v>Feb</c:v>
                </c:pt>
                <c:pt idx="2">
                  <c:v>Mar</c:v>
                </c:pt>
              </c:strCache>
            </c:strRef>
          </c:cat>
          <c:val>
            <c:numRef>
              <c:f>Pivot_Monthly_Ratings!$C$5:$C$8</c:f>
              <c:numCache>
                <c:formatCode>General</c:formatCode>
                <c:ptCount val="3"/>
                <c:pt idx="0">
                  <c:v>37</c:v>
                </c:pt>
                <c:pt idx="1">
                  <c:v>51</c:v>
                </c:pt>
                <c:pt idx="2">
                  <c:v>39</c:v>
                </c:pt>
              </c:numCache>
            </c:numRef>
          </c:val>
          <c:extLst>
            <c:ext xmlns:c16="http://schemas.microsoft.com/office/drawing/2014/chart" uri="{C3380CC4-5D6E-409C-BE32-E72D297353CC}">
              <c16:uniqueId val="{00000004-CC02-4B91-862A-397D8BD2985E}"/>
            </c:ext>
          </c:extLst>
        </c:ser>
        <c:ser>
          <c:idx val="2"/>
          <c:order val="2"/>
          <c:tx>
            <c:strRef>
              <c:f>Pivot_Monthly_Ratings!$D$3:$D$4</c:f>
              <c:strCache>
                <c:ptCount val="1"/>
                <c:pt idx="0">
                  <c:v>3</c:v>
                </c:pt>
              </c:strCache>
            </c:strRef>
          </c:tx>
          <c:spPr>
            <a:solidFill>
              <a:schemeClr val="tx2">
                <a:lumMod val="90000"/>
                <a:lumOff val="10000"/>
              </a:schemeClr>
            </a:solidFill>
            <a:ln>
              <a:noFill/>
            </a:ln>
            <a:effectLst/>
          </c:spPr>
          <c:invertIfNegative val="0"/>
          <c:cat>
            <c:strRef>
              <c:f>Pivot_Monthly_Ratings!$A$5:$A$8</c:f>
              <c:strCache>
                <c:ptCount val="3"/>
                <c:pt idx="0">
                  <c:v>Jan</c:v>
                </c:pt>
                <c:pt idx="1">
                  <c:v>Feb</c:v>
                </c:pt>
                <c:pt idx="2">
                  <c:v>Mar</c:v>
                </c:pt>
              </c:strCache>
            </c:strRef>
          </c:cat>
          <c:val>
            <c:numRef>
              <c:f>Pivot_Monthly_Ratings!$D$5:$D$8</c:f>
              <c:numCache>
                <c:formatCode>General</c:formatCode>
                <c:ptCount val="3"/>
                <c:pt idx="0">
                  <c:v>150</c:v>
                </c:pt>
                <c:pt idx="1">
                  <c:v>182</c:v>
                </c:pt>
                <c:pt idx="2">
                  <c:v>163</c:v>
                </c:pt>
              </c:numCache>
            </c:numRef>
          </c:val>
          <c:extLst>
            <c:ext xmlns:c16="http://schemas.microsoft.com/office/drawing/2014/chart" uri="{C3380CC4-5D6E-409C-BE32-E72D297353CC}">
              <c16:uniqueId val="{00000005-CC02-4B91-862A-397D8BD2985E}"/>
            </c:ext>
          </c:extLst>
        </c:ser>
        <c:ser>
          <c:idx val="3"/>
          <c:order val="3"/>
          <c:tx>
            <c:strRef>
              <c:f>Pivot_Monthly_Ratings!$E$3:$E$4</c:f>
              <c:strCache>
                <c:ptCount val="1"/>
                <c:pt idx="0">
                  <c:v>4</c:v>
                </c:pt>
              </c:strCache>
            </c:strRef>
          </c:tx>
          <c:spPr>
            <a:solidFill>
              <a:schemeClr val="accent4">
                <a:lumMod val="60000"/>
                <a:lumOff val="40000"/>
              </a:schemeClr>
            </a:solidFill>
            <a:ln>
              <a:noFill/>
            </a:ln>
            <a:effectLst/>
          </c:spPr>
          <c:invertIfNegative val="0"/>
          <c:cat>
            <c:strRef>
              <c:f>Pivot_Monthly_Ratings!$A$5:$A$8</c:f>
              <c:strCache>
                <c:ptCount val="3"/>
                <c:pt idx="0">
                  <c:v>Jan</c:v>
                </c:pt>
                <c:pt idx="1">
                  <c:v>Feb</c:v>
                </c:pt>
                <c:pt idx="2">
                  <c:v>Mar</c:v>
                </c:pt>
              </c:strCache>
            </c:strRef>
          </c:cat>
          <c:val>
            <c:numRef>
              <c:f>Pivot_Monthly_Ratings!$E$5:$E$8</c:f>
              <c:numCache>
                <c:formatCode>General</c:formatCode>
                <c:ptCount val="3"/>
                <c:pt idx="0">
                  <c:v>312</c:v>
                </c:pt>
                <c:pt idx="1">
                  <c:v>373</c:v>
                </c:pt>
                <c:pt idx="2">
                  <c:v>351</c:v>
                </c:pt>
              </c:numCache>
            </c:numRef>
          </c:val>
          <c:extLst>
            <c:ext xmlns:c16="http://schemas.microsoft.com/office/drawing/2014/chart" uri="{C3380CC4-5D6E-409C-BE32-E72D297353CC}">
              <c16:uniqueId val="{00000008-CC02-4B91-862A-397D8BD2985E}"/>
            </c:ext>
          </c:extLst>
        </c:ser>
        <c:ser>
          <c:idx val="4"/>
          <c:order val="4"/>
          <c:tx>
            <c:strRef>
              <c:f>Pivot_Monthly_Ratings!$F$3:$F$4</c:f>
              <c:strCache>
                <c:ptCount val="1"/>
                <c:pt idx="0">
                  <c:v>5</c:v>
                </c:pt>
              </c:strCache>
            </c:strRef>
          </c:tx>
          <c:spPr>
            <a:solidFill>
              <a:schemeClr val="accent5"/>
            </a:solidFill>
            <a:ln>
              <a:noFill/>
            </a:ln>
            <a:effectLst/>
          </c:spPr>
          <c:invertIfNegative val="0"/>
          <c:cat>
            <c:strRef>
              <c:f>Pivot_Monthly_Ratings!$A$5:$A$8</c:f>
              <c:strCache>
                <c:ptCount val="3"/>
                <c:pt idx="0">
                  <c:v>Jan</c:v>
                </c:pt>
                <c:pt idx="1">
                  <c:v>Feb</c:v>
                </c:pt>
                <c:pt idx="2">
                  <c:v>Mar</c:v>
                </c:pt>
              </c:strCache>
            </c:strRef>
          </c:cat>
          <c:val>
            <c:numRef>
              <c:f>Pivot_Monthly_Ratings!$F$5:$F$8</c:f>
              <c:numCache>
                <c:formatCode>General</c:formatCode>
                <c:ptCount val="3"/>
                <c:pt idx="0">
                  <c:v>224</c:v>
                </c:pt>
                <c:pt idx="1">
                  <c:v>247</c:v>
                </c:pt>
                <c:pt idx="2">
                  <c:v>250</c:v>
                </c:pt>
              </c:numCache>
            </c:numRef>
          </c:val>
          <c:extLst>
            <c:ext xmlns:c16="http://schemas.microsoft.com/office/drawing/2014/chart" uri="{C3380CC4-5D6E-409C-BE32-E72D297353CC}">
              <c16:uniqueId val="{0000000A-CC02-4B91-862A-397D8BD2985E}"/>
            </c:ext>
          </c:extLst>
        </c:ser>
        <c:dLbls>
          <c:showLegendKey val="0"/>
          <c:showVal val="0"/>
          <c:showCatName val="0"/>
          <c:showSerName val="0"/>
          <c:showPercent val="0"/>
          <c:showBubbleSize val="0"/>
        </c:dLbls>
        <c:gapWidth val="219"/>
        <c:overlap val="-27"/>
        <c:axId val="644063359"/>
        <c:axId val="448023791"/>
      </c:barChart>
      <c:catAx>
        <c:axId val="64406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23791"/>
        <c:crosses val="autoZero"/>
        <c:auto val="1"/>
        <c:lblAlgn val="ctr"/>
        <c:lblOffset val="100"/>
        <c:noMultiLvlLbl val="0"/>
      </c:catAx>
      <c:valAx>
        <c:axId val="448023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06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200" b="1" i="0" u="none" strike="noStrike" baseline="0">
              <a:solidFill>
                <a:sysClr val="windowText" lastClr="000000">
                  <a:lumMod val="65000"/>
                  <a:lumOff val="35000"/>
                </a:sysClr>
              </a:solidFill>
              <a:latin typeface="Aptos Narrow" panose="02110004020202020204"/>
            </a:rPr>
            <a:t>Where do our customers live?</a:t>
          </a:r>
        </a:p>
      </cx:txPr>
    </cx:title>
    <cx:plotArea>
      <cx:plotAreaRegion>
        <cx:plotSurface>
          <cx:spPr>
            <a:ln w="0">
              <a:solidFill>
                <a:schemeClr val="accent1">
                  <a:shade val="15000"/>
                </a:schemeClr>
              </a:solidFill>
            </a:ln>
            <a:effectLst>
              <a:softEdge rad="0"/>
            </a:effectLst>
          </cx:spPr>
        </cx:plotSurface>
        <cx:series layoutId="regionMap" uniqueId="{00000000-F504-4F2B-A0FC-6F707D3934A9}">
          <cx:tx>
            <cx:txData>
              <cx:f>_xlchart.v5.2</cx:f>
              <cx:v>Quantity</cx:v>
            </cx:txData>
          </cx:tx>
          <cx:spPr>
            <a:solidFill>
              <a:schemeClr val="accent5">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dataId val="0"/>
          <cx:layoutPr>
            <cx:geography cultureLanguage="en-US" cultureRegion="IN" attribution="Powered by Bing">
              <cx:geoCache provider="{E9337A44-BEBE-4D9F-B70C-5C5E7DAFC167}">
                <cx:binary>3H1pc9y20u5fcfnzpUIsJIBTJ6fqkJwZ7Yslb/nCGktj7hsArr/+bUqyo1nkUPd6qu47k6RSNtlg
kw/QOxr/vu/+dZ+ulvJdl6W5+td99+f7UOvyX3/8oe7DVbZUR1l0LwtVfNdH90X2R/H9e3S/+uNB
LtsoD/7AJqJ/3IdLqVfd+//8G0YLVsV5cb/UUZHf1CvZf1ipOtXqF9d2Xnq3fMii3IuUltG9Rn++
d5dp9L2QebR8v34N//n+NlwqvXznFnWu+/fvVrmOdH/Xl6s/368Ng9+/+2PzaVucvUuBeV0/ADE1
jyxGbcIJMx9/MEBa5MHzZQNhfEQ4MjnH9o/HXi4zoJzO0SM/y4cHuVIKXuzx/1v0a28B3+K///gN
7sdvMX79AID48/3HPNKrh3e3eqlX6v27SBWPH0v2bjG+6Mfbxy/zxzp+//n3xl/At9r4mxcQb37Y
f7q0juI/IDyHz5MXvx9hYh8xgmzLQkg8/TYQRuKIcQv+QdY6wtM52o3wBv0EhDcoDgzh/6awcB72
sIgJO+Im5Zjb5AlhtgExLGLMMGU2rO4n0fG0ht/A0W6INweYgPEmyYGBfLcKl9keMAZBjZhtmxZ+
ZRmPGBOKqI3woyBH61BP52s30hv0E4DeoDgwnD9EzUqq6GG1B4lNjgQ3LULsJ5VsApRrOhmxI8KY
iRET6yC/iandOG8PMQHqbaIDQ9uptd4H0uLIQrBqTYs+CW6+gTRGR5YFSxrhjeU8maHdKK+TT0B4
neDA0L1d5qNtLethD4vZPhIMxLKJ7Fcgxkcm5tw0xaaB/SauduO8480mgL2D6sAQv1jKqCzUHvQ0
2GKUU8ws/qSGt4W3OBI2ZRwz84c5/tIkewtnuzHfGmEC4ls0B4b3f9MyyvchwPmRLYhlo9cE+Ohc
wc8CJ3tdVU/naDfKG/QTMN6gODSEs+VDIfcgv/kRAccJRDQAuGaFYROgxVgQU+wyuP87maFXAF6n
nwLwOsWBAeyt0neXBUThfj/GFB0xiwKYiL/iP9MjbFIC/vOGA/0mpnbjvD3EBKi3iQ4M7a/1t30o
Z3GEKIJQmHgt2gn2Nmc2h4jourieys9ujNeoJ8C7dv+BIQtR7iW4zkv1+9cx4UdI2BhhcI4ff1vB
bPPI5qYAj2vD1n4TU7sx3h5iAtDbRIeGdpHWezGzBUhkABIsr1egBrfK5MQWdCOq7U7m6BWc1+mn
gLxOcWAIPzmLzlJ+W8p9iGx6RLHJbSZeiXuChW0LDpFPwPrxty6438zebtR3DzMB/N2EBzYHTrJy
JaNlugeRjo+YwNyiBD2tc9DLa1Y4so4sSG5ZEBx/vGEjTvYWznYjvzXCBNC3aA4Mb7eAzOu42PeS
kwY1bo6WOCHsaUVvRUXxESKUWwzBlZfBk7fytRvxnaNMQH0n3YEhP0vfeYUEV3sPS50fMSxsCz8n
MQUkN9aW+uhwC4EA+J1L/U2s7UZ+e4gJsG8THRjmi3SV53vAG5If2ARfbKwsWQca1rfgiBFrw92e
zMlueNfJJ0C7TnBgsN7VYJdme4mKMkhgYkEpfYqMbcXAYSUTjhHieMPNfgtPuzHeGmECzFs0B4b0
cZ19K9IH/fvXMFQlMG4jSrfXMD1CNiImVKXsMsvfwtJuoLdGmAD0Fs2BAX1eqHf/zYNVutpHdIUe
QfUJJpxau80yxI8wJRAtR0/hlw1T/I3M7UZ91yATgN9FdmDYn+T9PowyG0rLMOhp9lyhsGmUAejg
mNs25xu2+FR+duO8Rj0B4LX7DwzZs5Xch/llQRHRY+nJc5nRVpWReHTDEMFQTvjSy5rKz25k16gn
ILt2/4EhC8Ghd160CvaxcCFwgixmQfBkw7qG6jEEBd+Ik2c5vo7um3jaDfH2EBNw3iY6MLDPYDfB
PtSyfQQrFKp7f6jlLQkNAVK4BiVkm+t4KkO7UV5/nwkIrxMcGLrny2QPmWkCMhhCn1AqRF5Ncwhk
IRuSluvLeCo/u7Fdo54A7dr9B4esUqs9KGDwnSAXTbl4LhQzN0Pb4CXbcJlC8mMT26kcvYbuGv0k
fNcoDgzhi+UDJKR/v3cMW28gHQ1RLPacpNw0sQBh04ZINkUbhdzTOdqN8Ab9BIQ3KA4OYRntYQlD
sScU94KVZT7HrDdtLdiUYRE0Zi83vKOx4HISQ6/h+5J8ErwvCQ4N3VX+UNxHe9k9N1YMQbiDsef8
49YSJlCIwGxCxIaQvngLU6+gvDXEFKS3iA4M7dtoJfcirSEfYZsQl+Z0d6oZpDVchFoE/iTON+Jb
0/najfYG/QSoNygODOfrdHm/2k9FLxdQTgKm1Ss4oyMId0HBAX6Kc27o5ul87cZ5g34CzhsUB4bz
xUrew8Zt93dvbQflTExb2LBed8erYT1TDqWgiD0t+I31PJ2v3Thv0E/AeYPi0HAuQEn/fpiheBvS
jAICHM/1X1vZZGhxQDFs0EAbycaLqQy9gu8a+RR41wgODN1PECGu96KWofYelC4xX6sGggJA2ISB
TNvcsLHfwNJuhDcHmIDxJsmBoXwBhV8ruep//zIGX9lmNmPEfK7d3oqGoCPbsqEwf7OJwVt42o3z
1ggTgN6iOTyk95GVgBQx7IX7qZJHp2mt9GdczLAbFvZnbFhd8L0n8fMqwn9TT0P37/sPDNnLZbmP
WBcgKyALAWmGV6xq6E8BwUwTNsauRzOn8rMb2TXqCciu3X9oyK6a5V76y8CitDEDHfwcx9whm00E
Oy3o5h72y8kcvYLuOv0UfNcpDgzhK7mE8p49aF8CpbXgEXP7lUYUkDTmFux0tcdavpfFANM52o3w
Bv0EhDcoDgzha6jJ3MveOGg7QGwG1dXP+2g2NS94w5BqAj+KbGyYms7RboQ36CcgvEFxYAjfLu8l
NALL9d8WxtOC+g3t/GDrhMWgIwGFXY6Pvy2UR295/Acqf8bfxmp+G2+78d4xxgTMd1AdHO75O2cF
XQr3gTuU6Vl47CX0XNOzWQQCjYSoiU0o1d2oExjLbqZz9RriW2NMQnyL6iARl/lSPuwnOQU11hAZ
gUqu5+qQTbsMtDaU4ZsQ7V5X2k+gv4WxXwG/Nc5k8LcoD3ACzMFku4/UffEDgt8h5hmU3Zsmg6Lb
nymKNTca8s6waxZZnOxA/idHU+zI14HfHmYi7tuEBwj7abGs6mkp/rd17B1rDqDigGIA+PG3uehB
1GMB5YBC7E5TgsB/A3Ov4785yET0N8kOEPvzOlLvrr5FqtyHqrcgjoJtcLdBAow/MOHW1z6UjUFJ
N/QM3LH238ja6+jvGmjiDNhFeoCz4AIaUe8D/8cGc4yBn/aKiQ+BNsyhaoVuGff5u8lMvY78+hAT
MV8nOjy0x/6R6X4aYEAaG/ZUQQHwa2lsdAR2AILo24bjDlbeW9h6FfGtQaZhvkV2aKhHKon6op5i
Rb1NxY/9yAgYb/hHP+8tbw4f2dB10ILi0R9W5XNT/jfw9AremyNMAXuT5tCQLtLltOzT23CGaA34
7JSPWc/dqhyaGFEB5WZbXvtkjl5BeZ1+CsbrFAeHcF7so2s7IEyJsCEx9lpW+3Gblk2hBnxjJUO+
cxpHryG8Rj8J4TWKQ0NYL/NIpct6H1uwGGzUMKFdhf3aLh2oKDTHvdFso0QFTit5A1evIL09xhS0
t6kODPGvRboP8xs6/jLYDA2J7E2/C7Q2g83v0PZgfSlPZWQ3vGvUE4Bdu//AIL0d2/DvoyQYqvwJ
xtA58jk5trWPA4qPRlW9leCeztFudDfoJ+C7QXFgCN/BNhU42WoPNjV0KoF9shA5ey4T3cqMYch/
QjsiaCm5vnzfwNJujDcHmADyJsmhoVyDr7yPMgbYC03M8QCcVxoPPdaKjt6yteE43U3m6BWM1+mn
QLxO8b8A4V+zuPbK41ln//2xjHYkPN54Sh3EvKGA27ahB+huR2lsAorAyIbuzk9BsR/PfnKLoc3u
z5P1Xs21Px3ut3VO3UvatXd8esVff5T9nEL3+gl1P4/685Z6OXs8JPDFIXW/vvo4seFsww3S52qf
HSD+rOM7efjzPVT9EctE5gtkx4HWaoV+tF/6Ac463QpOOPzzPZw4SCBVDRuxbOi3LmD3JDymXT1f
gmawsNvdgidBw1c2Vo/m0BI+hHMMIb9twyF2Y6E45MUQButMFfXjJdhkCzKBwi4PCIvDPeLnMY7X
RdoHRf7zuzz/+V1eZ9dFlGv153sYp3y6a+QWPHHoWQaBuDG+KsYwK4Rmyvvlh7GVAnyE/6Prvq1Y
YbXXtXkaxG7cfyjU4sVH2fEIOBtm7SHwFtAXj4HnP9br2E/C6uVDkCFJHCeqvCatiE3lUEsliRMS
nJPr0JRV41WF3SU3QxHZ/DIMQ/ZFBgwnN3CsVO+GZtbhU2yXruqKkyrsziM/ndkkmg0R6p16IG7f
p9e+ZXhpYZz0ShwbVXGrzTJw+hDNhop96CJ17PdV5oRZNweNjTyLVqdG2V4ZPPmW9snS8H2vLsuT
OI2/9E2M3CEKrwKtZhynJyxUlYM6+V3WbFGmUeulFWWLqKK1a2QodbTVHldNmbg1iz8yflwR5cLr
fQls88QUeewQVJ5WXb5KlQgdv6NO2WcrvzQLh2eldgqz406l5LxM63Nfs9bjuSSObHHilMz81qn8
lFAj8xDN7xoUnPoYf5RdmDo40p+TrFdu2Lf3yqanPZX5vIrLizzsWk9UjHhW5FuuX8hbsFakw2ih
Z0FPLrIgl65W5CZtReAOTf3FiMl8aFk3gz3gmcOx/h6zKnV5hAuHVcV1XtAz1ko6K2kVOWlSxce2
2QVOqUngdnGdz6ISlw5qeOLQcviMsuKEAJxOURsfrNbInQynd20mSkfw5KtRSergtjwRSMeXqW6R
GxrJqTKi0jFRRR3Eg/NA35O4mIvadqOsxS7tKuWKNP/sDw11/YrnXhGgU8lr6emGLQZm3ZdR1zpt
L89qRu+5ykKPx9F3nrHGDSgfvEqLu6Cyv9Oodc0qWkWV1bpIxcchlqGHOu4WQXbdYPUNxbHpSqoN
hyT5SRolmUcbPY+4Hbo1iRuXKt3OqGEK18rr61oYH5ugVq6R6pOQhHKGaHgbdLryChbUbu6TWUql
nDUBmw0F4Cd4fItJ4yZN2DidaD4n5mA7UW9/j2Pxl4WSwglbTOakS3zH8MPkIs9S6QZxVLogVz4G
fXWbU6s8DRNyFaSMeWERtjBZu7+aOIXZ01b1jLfwPRgbvia2f2c3Zuw0cb6iqLXnjTQ/JkH6UUU5
djqDR14T6IuMGd+1wb8avKeOnYQuBHhV5XV+IYYZG+wCzzTpk5MSw+yftVRW/nEJX0MMAlV3VtAO
jm8nMMtFmnxMYLv5iTV08bVN2ruqwsfGUK4ylZ9ESZk6aVE+IF1V2mFRMKs1j+ZJq89qGcWfKdVe
avupq+xPuZh1iz7s4/OsKJ3IMD7IOhaZ08ZpFXl+JguvafmZwbrCk6IsXJValjPA/A1IuegKckGV
lblMGguDKbeEtemQsLxUBfsScmsVmV3lgOysHDqgeZaWbhP2Z9A/bml09Vmro9PMqr8GNY1HmfNB
5mgWl+hDgchJi4wPfc882wg+4cT+qrjlFcg8E21wDWcnXfdZeDEoPR/qxPVF/1A3RuqELPYSpZNZ
5htuUmGHKamdmFtzWTaXjBUzWSWpQ4bBCyOrdQrRlXDZcHzDuOq1/JRFIpn5WIG2Cee46j4bamXV
MBMbm80JjVnm+nmbZo7w4WhgN657w5iZTc8+saDpFlUlsRsHHXYtXuryMiHkS1ZQ47Ybqhlr8sB0
0xjklpMUtOydzBrIQveFdHnKIoeT7FNSqbnU7Ze2TT+pyvhqZpLcmLU1XIPCq+YyrZYVRiehJA+d
z6+qob8UqQi8POORYyUD8qKq4a4Rp9E8GzJxRzPeXwRZeBsFwbcYS8Ntkzo9k0PPZmWmCbyP2btU
h19zDCi24V0UFbEniHFaN+pLjYrhlhskm/uGUk4J/DlNBLrHFQnIgNpIbU/V5XBlaG7c2THpvb4X
7SyQhZXDKleffaFqj2qWHcNq5l6Vao/aTXPcIN0ufCwLl2RFv2hzM3SbtBROoJMIFntkHbepQMcq
aa6tRH9QNHQrGy3ihjZOYfj3UUFiZ7DRXWkVXyTqbgNL2ieC1l8K0RYODQb/8tdqF4yHF5r9UemO
zVZGjYs5tHTY0Ox2WpeQeK/q64K3MxtdxfzOBq4ts3Zi+vnXz1q3IsZnIai1RgRBH2sovB4Ph3qp
4JUqOo1b1V5zf+Ynn6p+Hhqf/t8eMbLwwlBp0ypN2zptr0tYmL3BnLD5i5a3/xcPgZ7MsGkLKsPx
aHW9fIgKk6SL87a9JvKuKs4749JoTn79iG1Y4FO9eATUL758hK4LHiDatdeU32bVfMj0DKyQnC3j
/h+eBEGejQmw/qSRkxdfLA0bK7M1vEzVDw7KbTfEp3V20TazJjsdssH59YuNjP9tST7NAQG9FSls
bSTCGvsnvnycDuJukBq112n1BenOYfZdEJ712ZfHxzz7AM/m5JMFe1+UvYyC8Pks8p9//M9dkcG/
jydb//2X41Hmf/9psSpGX0lt3jQ+5+dd8Jjn5462/doftpyNV9yJp8PSX7n4uq/x0mWwoPDhxafe
cjNeemxP3t6j6f5I9cPJQFA6OXYyNeFIJ+vRJ1hzMsaNLhDS5+BxjlUUP5wMSMehcfOaObqZ4xL+
6WQQDI1eYEAoy+NwljoX6C1OBlp3ACzTEnCML3T1siEzSKDUa2Nd6YEUZVXX3WXeEjFrWj8sHRCI
LHET1jY3tmH1p3HX5MnMNBP9VRe0+ZhQBfpYibz6B2E19ol7MVMfuYEiUmgyBy4U+D9jgOzlTKV5
XyYirJtLXOXoMkiG3HdqVoBF1zW6EE7T0vora0ojcmTGdeVWsUwCxx8Uoy7s9csfhNbmFYwR1h5O
U/RxsAyOFr1t+SvUG6ibv8D7ecq/dNLwKD//XltPHMN2UuitBbVy0IMY3NI1jiMWAra9viSdFQSe
3Q3pxwYyrWSuWV9YTtN3KPYi5nNnYHYfOT3YXIuskT3yZFPoh7BTCrmRUVqe0lHRODoLzcZh0kqC
WVDE4XVSi9MMnBPlQepPfFJhdZakrdXNImXYF5EMm2zx67fahgG6UphwHAacQwYdHB9f+oV8Yr0R
tEaZqstc++JTEYAX7NAEw9Qo87q7bjspbksfpU8CBNY1OPs7Pua6rrJM6I8ABy0wAqftgN2JycjW
i8da4K/QUgX5Zc4HdImSsL7MlXQj7of/oLJGifcStfFJIBGh+QboRgFe/PqTypz2QyXD4pKXJl1W
bSHTha95j52kDGdmVaeDS8yeF25MrDb7p0kzTor1x8NEgV63FI6HAt28+XjI0kdhkGfRJasSa5nF
tbVM0pEHa8jUzJZF4fQmQL8A3dpip0oKttKpUCet6Ol5ZxNpuqSNi8SNWZ59JLLExAt5369Koyk9
0xgy5lqioPLYIvZQ/4M+QdtAQRdAEBtwEA5EOyBHtf75TLu2csvyjQtU+9kykloFDjISnVOH9H0e
nLZhlHwLuCjPwWIN53ZBu8jFqGHfNRuGwu3DgLm0iJtVJAl7aKwyZKe/nsPU2gKZUAKTaIzCQwzF
YhCIfTmdbMkjU4aaXMS0Kn3BPS3CYdHpjoi5buralV1l3jRZb9XOGNlwJcoXCstykdISu0laZR/K
1MpAYaZt8LmNwWXuldZOaVXlR1sl3POr3HfrIo4jJ9Ikbh0/VvllWxrqqjIGMgsCJGLHGPw8c3ET
gu1q6/QDjoProM9J56Q1qy61X91pnBnEsxsMHzLqMcgGWg+DY7Y8Pk9Di3/1zZqehhDCOR+CrhFu
a4Y0gxOo+ujE4LIHX6sH7xm1EGoZ4u6+VJW+rU2DhU6baTb3VVWfUAhN3FUhapOFzwwUOUOY+N+g
Hkw2TpRXxl91xjKvLBU+SYq8PEGVSB+iprRh3ZMsuY2E3zGnqWhwKn1Zuz18hwWiWFxVbdbNaCur
OUIdamYpnKgSuE0b8MptcOjPMkUkBHHEVegbgekhVOhjUDW4dXMzth2uWfqly8zwDIN/eGsRbS1q
ERt4ruxsWHK7kDNldvEwbxIezI2uM5dYpe13FZSl5Q5Yg+2cB7gJ5p2OwRVo23bWB03N57LwQy/V
JDvO4VYHTswFb9RusoY5sYpjw2V+yxwItHWDQ3Xqu0QbebaQdjILaN2bNy1B1IuUNFMnhpmk50S3
Qi06wrpzOxmG1L+p20pnmdNHaZ/Lh9APMR6+qtboWBY6QoIoL+5xn8WaSDj+uq5L81InOku6UxFV
w6IRtfZPMhlBcCXGaXFrMoOcxD0htVsDBr7TV6boAK6Mcy/3fdCHOk3aamYnLfiCMtXIvwor02bF
cdKzNvT6LhX63FaawIxq/QKp1q1BF85tI4z9qwaWjh24FS85TDiSqGyep5EUTlqB8vJnXRPZruFD
lNxyet/MKRzQ42eZG4q69edtytJspnywCuZWHmSDywcLJGaOE4i6ZaEEF7pRfaCuVWRk2awIIv7d
qBsWmZ5ZYL2IKK/5pWX4gX+aE6aZFbt5p8ALPVZQiSbDWRmELJv5qhmquZAqj+Z9amf9salUVroW
7tPIZZ3VpwsZVZHhAqz4s1Fm4LjCafcQCoL/TOMqjU1DwSfP889xlonshEih01kSavvDUGtC5rFR
YHQWtqFiucNCHOqFL5syvwVlTE7jYMDJvC6Bg1mh02CYcdQNwuVxX7YX4BLD1DZgqUjPR6g+lcSy
Ui/wSVB7LG8AzogpsE/yISbDKk2ggMfjwEDmEYg7VCfIjOhxELHEdnGSVMSLisj3htpPLMdoZSmu
Y7+NqUuiKh6crIwH48z0UzpHpR9YwK5g5Qz14VCchBFqg1kiKESYxvscJCKRw/QJSOV2bWQMju4i
4y8Jzd17w4lgHeFLNOTRAAGDhhrkrk9bXF/apegLLxeVvrDqHFRSoFgCBCIj8LX8KET51wGleXha
9VnazVVrDdEZ0oG+ozG2llbnZ77DEUzeeZ13jMyUPUTAfI3izEtJlSiXt/4sQlH1NW1bsCziIG5u
lWW330oZkuOGtYE/4wm4tk7OfRjHSosYYsOyQZdDVxJ6o7SF7pA24I7WNhR3NeohNNrgLI6OZYdx
e5KzQOGryGDiU25W4+SM40otWKpCdd31VHMIL7aATdjmwFihQOiegQYTnwg3YXZnICWlB1F5CGxr
JXx8Hcs6ST5gngt60tG4rS90p0fjM+w7iCwYdjcr2gweXRTDAAFDnOlhYSZsfPmR9RbkE/BVZuiS
Wjm8RV1Z8KnCpEgGiII0sHTKNEiim1wyWPKyBqsggGsgU7HOw6sK0V7mDilDE+BuZVdfZEZYKicy
66qbd+A5k1nfVHgUGrCYXHgjECAdRHDBTtZ59smHA5FOeRNF3OGhlcC86AN72eYE2OgkJBiI7kx1
FoCZG58VZZ7Etxy0xULlJrqsRFB9hZ1/duWENIzwKXjLoj7zwyJovF6yqgUDtyeLEsNndU1W9fdJ
mljXXa3M4rgy+yb53NpZoI4hqJZ97wcxypCoSkMP/ABOZhHuQzUv7Ux8Nkw/m2dtGVQQEgcx18s2
/BAVWp2JLIktz8ISByD24Khdpwmx+CRjowlmKc5hmQyGD0FNmheoWmUgkPtTOAAI1kY7SuxZbBnw
RbtmaGagZNrqDMka2xD6S3UDmpY0JpjeVfyXFI24M3ow008HoSV60CrvlZMhxJqTqMUwVJehcHBp
G9jBSQmwtK6RCHs+FE2jL7qepbdxA8kJztQxzbrGOh5aG8BJTKQGSFUkRXGR2x09N7RJi1lY5Vlz
FvRtGbrcgsD4HVgi6gFSFCBGQHSqxklC1SpHtA2vQAtAdDkNKhR9gdAa4Y0zgAXWf4R4vyFgMOXL
WciMJDg1/LL9Fgam0bgpU3ZyEgkT3XTK8IeFrCsVzaKhhkkaYR2T6y5JB+sys8s0daqyMe0LikLa
uT1YN2rWhiWg1vI8Chw5sAxkh1LpDHWkk16TYi4XA69g9ie0C5jX+72pXL9UdvW5tXp0F4cS5hpo
OvEJ5nqmrnORIxCwuBTxnGeh3Tpd/RXzuuXISZKGfbRwXrVeawWaXlA/5c2HyldCgnKHGT0rIwJo
guPQQ+qJ6KQ4Z7IMyTXuzNQ+8TuIiTtR1xnBRSIhpeRlygeZAdZYrS/S1Af+pUiCuQp5EnptZ5on
fUVh3fe2DYFU6ofs4tEq/d0xkovoXhaq+K43gyQvYyT/+f88krIja2uC+/zHy5DMWtb26cDUlwGY
p1zvSPUjnAJ7zhhsN4NoJkQJwEoBo/9nzhYqXCHYBRFVOMWRQs70ZzgFmptT2LYAARMwWB63M/4d
TuFH4+GuBLxOGNRmkGb9wd+zx/qrnC1m8JA1186CE4ERtFlmcCgV1FOPLWheOh1d6wegCnx6lQwl
608gH5ORb01ItH8FYoZk2YUBZu0x91nqGnV429OAOolNSy/Htekg344c8PqSWS009SArYh6bbRJ7
vCPSrZtiifohcGsrWg6V6ryMQFhAKvsszQKQ8n58HVewtgIfYpeZok7DYX3zfjCPI2ErL6mRDyZw
0jitkTWzUOrUC23I6OQQMEcs+twg+yYi+cJOM+kWnZc3A+RSdes0ZmY6SVzcDEH7qbCLEwUpGydK
CzBdtBG4AiSOE8lhKWJ5Y9uVCSl6bDsixdfY1OlFTYdiDko997CfFmBPV9+JHyzruNZuZrCZ7ldt
hy0PfIpZY5DAS7P8osP0c5kHpaN4Wx5TBV6UJG3pJiUKHVIYEFPhQrqo6c7IEMUzLIdVzf15XTRn
SLQLxMBAKYuFImomwezHMWrAcoZksGzISgtw8lp/cITp4IGc5/1wPFjgDNSBLyEHpN0mi+54neZe
mpbHGcRjuiK+S4XhaZ3flNI8C43aBSkCusjKbhqAtM4oxA+6SOYLbSA+53Z5iqzsW67C1IUo0LnZ
iHOwDHOXpn5un3KC5Q3qzNL/K5ZpgGeKFEF+Ywy6LxcZynsnMBPzSz/EonDsJrnHFpl3oWxBXNf3
QoVzOOkwcFsOl6O6XVUUKTdWnXCypjvWfXhJc5/PjLbr55UOv7eGLSFT1X+1TXGnh+4GNegviB+c
msXwNWpi4dqWIjMW0IcId6etGfR/pWGVgHtbgsdOcpc34C1aZnUcW/IG1OYxk9w4Bz/2ro/gtSBL
XjlBwK/8TkUuD4fv1LK8OtQJpJVsMdN2bx4P7DuKCwpGoP7UaLAAspJiLwWLNAkEWVhGBA4muOol
sjwJsTLXKML7IKkGN637Yc7buIR6iGCBDfU1aovjApaNm/O8c8Aih6y8GmY6yCHbDdqua6nvcmlc
977xRWrz1C4J8mIcf7T8MAB7HjNH+b0Dq9kD/XWcsoS5ti5Oc0u1UJRQgjXFLSe0k+8q1FdlRpeN
8s/tdIidpI8vIdJzVhLIENuFOIOcHnMwgaRxDKaJDKPQiXXTLqoO1J4OCXKwgB0gCf86QBIxS60T
UwVfSULK28GwQ8cIOQQFsPWRGeFthw3HFO2XKqTRSRmKk6GrzvyAl2d+ob7Ynb+AYNqtYduQzuZX
hlA3oWmvSjpcZpk8TgqYm4PdD16J8tqDyMKHpikWCRhjQR0tZByKWdKJHEoCOvsv1aiTEMf1B583
IQQD0nnWtWe2VslsLwrwf59qG+tzXldtj13YtzXbYzf+5XPJET6CFB30eOdw3iyF+uAXmo0cmRj6
RduQWYCw25gwfE4UwLYPAseTE4iWQ2dSsPAhkvlcjQSlbGPtELQshe0CcGYLXHqLZht7mG5oNghk
j370ePwLFCj/D3tn1iM3jkTrX6QBKVHb42jJfandrnoRqlw2JUoiJWqlfv09sq+7bfcyaOC+XKAH
g0EPZiqzKlMKRpzzndAvTkGAs9fzLLJcnTp/ap2qjytofZFs2jahS70JWm9LJ7V3jRWPc/gEN5ZH
ZIDlX4fegwjY2VH9vhYihbOcQcz2a3ADRT41j5UKaapscsstqff9VPAwkZWw3iCG1JgCqTPmRz8b
6xkoB8kir/LFrutFkdY4QG6JbJxEDd79VHrQIkZzDd2KRrN0kiZfyqid1YMx1hOs5EdHQe0j9lLF
RE97zzLXvAgOeEJogunjk14clCk5RVyQu0bYN2FgPdljJxPoiDTK+vI8NhosUSa/GI0KkNt0kzGf
J7auHbA58xWzwmtbiTlxR2dIjMrfIY4tSU8ysDFzkHLST3GjcropsaUyayKLmf00KyvOJ36kg391
ShzwND8ugx8TCl1yrKG8U3s8Qpj4kJPw2WI+6KTKuS1Vl/Yu7P4CYqEWy2Ovp8040OZCsymtG/UF
uxuSURd34dCM0ejUp4bXe1qbp7IbjpYavxDtGijGxo9Rt4ZoKcYxsqDlRk5V7trOAsuSQwsyyk4y
mwwxpNrgapvGxItpy3jsJ/ASaor7UItECVJENTEW5ndMtRIVPPaI/yk3HEIPNds+EyTqZopqbe9D
z9kNg75mlZaQ2wtzzlvdNpH0vKHe9i6YnsitINr0Ou46F/N2WePYt+04l+OGkeythHVfVrMVsWFO
hJxfuafKCK+JVjMEfbSyRvnoAWizXokGRafH3olo6QApCj+bsgzOOADGNCDdsLGH3DtVkwNcRur7
vMvYxe5rdaQ2H3nkhyJZ9LDLx3kB81KxtBr9JKhrupVW0W8qXP+XoQi2vsX2Vts9EdfdkcF+msae
xjzvSNJ3Nr04jS1OjQQnw2HNpbkLuzcbhRXJeVV6mJVtDaXk0syOfQu6y98V5bgNWbMzEz/UJdqs
ubVfA8dzk1Ka4goYfYpDl21MUG+GvpsSCiEydif5Zjq1scfio+JQfELwLDzH9ykqU10ZA8o0/y/j
6GdjAM03Yag2LjwNRFeALq5O9A8OTuPMY1lZIb1WNVzCd5z8U73/oW7+35b7R8ftT94CD0nwsFUK
NRIWzi8Ntmn43InCQ4PdvQ3ljWkeZHj694wCNLsu3Pvhs/6Dm/3fCrb8++uvp9S3H/th/mLrovMA
J0HAHB9fzw/zF8YoPNPAwZHkfAVjv59S2CQCyNSBVYQ5DE44fur3Uwp5cgd+kgc+5evU9g9OKagt
fzil4Jd7wGV9nFQ4GH9x9oKZt+EQ5MNVoGM9BFXIzlrOx0BWbewO+smr66QVfbmTyq+Wz7kCHXU7
GAOJfUG/SufqNswbGfWlue05O6iuVpu26oqILga2bEmtbVGNDBBlvuFAA/fQ/knMm4xFUGd4Hodj
Kze1j0b43vDmOcyNiizwt5EPAVbEjd2xwzhby8Ft5JxnsQlMcRiqMjF2Zu16S3/hoVzgCJO1Eih4
U7QM99XAx6cmDIKjXXjlOXAkrJfivhnAyaVBbcimoSshqC2S+ONa+5zFwdxS2JHthVBraHgsfd2n
Laex29v9xp2bS+CicR0dFW7GapkBMfYYmHI57fTUXWjXhXEv22c98ZOhU5oTk9idfSaMH6elz6Ne
NENUQInCSBHE09ANqcRcHvHM6lO8Gf+STcp7wfQyZpvWbfMIlhRO6Lyju1APdwAj7wNB5LBvvNzq
bwsq2x1MpVi2ubdrXdPJe68nIaaxIfPHyPEztnXoNIrIzdwvZTZM+zU4vx1kWSZLLW+M6C4Ypg+y
yi8tsY9Bb21UNx2s2kvUAqWnlRERS+wWzfsk7buiD5//LR5fiftVavnrBndd9PXDupVfiwioQvz4
9yKCEAXzkXJbn0gWhAGDvvNbEaHoggMCth5961pHfm913VX5WcEpvBYBXI+f+l5E2H8Ad6xratAb
BwAWgn/S6uJ1fm50wdRAuQlRP7DbxrV/KSHadjACez4Hs8ujzj4WLI9++Gj+5AxjX0GW3wmAADU1
QD+PxjxYOZ+vfM+PB2VNFQmbysxgXPy9zIdwA9dC6I1fz2eIqd4E/8h0W5QckXpWo0VE+8C9t/um
UEnQh97Z1z6AAMmz9jxoCz5rPThee15bdFix3WB4QhrqL2k3kVQ1E2l2ZQ4zTluMbOcZtqNW0Bsm
hEy3Omdt2qlJbB2vIZEcvRuABXzbwERLBsX1trB4Za80prC2sp4WdS/1kn+BpTluHFpki4iDjlhp
WBlmA+qs8N9S2rAaHQ6riXPfy6ZE8Wvn9raf8VvA99wsFoXPNecfnQYWHFSNiFRWG5VhuXfGdjv6
3mkaPIrCaV2GfHxyS+ehDbt7XS4nLscnz61lFHitisqCnUCsw7FtT3ku9pTzcg9lv0j47B0nxAAC
UgfRyNWWFDOJSAbzW5mDdslzI4SJq8r3IqLaqy48sQtlfhpm8oah3xzzxoHykbEFHTf9nFeqSkwY
pkZ5IupD1FfOgLX28+xupZMtx9Y0xzGztnNdopoXfIsxXycQqmO+NGk7Fed6cp00cxiEkrzZLove
Z+jQc7ettkJCIeNWudeLyiLe0b3sZp3qvL5HPOWYO+hoLUO8T7BTuthoDkre9jYz1PRopkUKKptH
FsD7esz2c9OeJyZxdIkcHyssL7CBqJ1cuPcuw7HkzGzYdVK6kcxCO6kz1sfE9OfWG62Yh3o/lrPZ
qop8Zt7wTms32GrYsEcnrFdKunSL20YGiD7MrHBjiu6c+tQ6hKWg2y4gn0orhwJqXXrqP/a5ta3y
DF6/0SBRAzD6YBnq4HaUchMKOxE6SztqxbU3lUB27W0w9XbSOvjgXenvOjJ+oEuvQF/wxA/Dl8Ub
z4qgnS/0fHArcrPgRUcqYcvm0cLodmgsQAL0s2XNe8WWk4PjNfSf5uxFBcvBr5dg4wqeat99bBcK
anV+GwdMD33QH1ldnuAy3/AMeRMH4HiUleEzBLrndQlDoid6CpmE8Maubb4zUP3ifBkwPMKO8HPr
IZi7R1aO6cxLTII5v2FjY0cYcUBrj8WxV+Ue03wVLSN9aqz8IQjqR6tR0SKnjc+bL/CXDm1oHQA6
LFEnvEMrwm0Fcni1kxJHUdAcA+vv2CQO+PuOriAvzmCJyDhVEYVKAzt3GnGp2VzuZqu2n9UU+B+7
QBUatp/JHus+K+/mzO+iea5oykB0RJhj8qS1cJaKqudx3psham10FBNui9PYuMUFOq5lokqPGGeH
xlvvMDwcWEVt2GOMarPgbfECnuSu92R1tpeOnXcB6AH4uMIA2rMQSmzulODiQI+bAMoxt927nhAd
Oe3UJnxsgohScRyVua+bcorEhFlpBBe2gbv90fPuBb75pB2sJfHX8E3gVN45a3J82EtTQEtXb4wL
EXmtyXHLAZVh7gPhTYnP0ZRbbvhJ1HQBiJfdlr16G+YwFhkUdmG3APjJfebhW3aal24oEQQRu1H0
X3w9XSt3ERuOnEfkTNUzxLJN7vkvq5s+BB0AOYoQE+z6JoJVGETCN6cug6BtCkxcfipa+x3Q77xt
Whej6vg8OtnWZX2DkXt46Xq2aTS+5nLa2Jn/gcruCf77B5cqhARmcT9X5iTDade3FDf4JD7w3MCH
xC06z+cxq7e8ztDaVN5d3y9Xt/Oe59y9KIyUARs/TAtU8kkdCn8ZNyA8UCwIAkYsTKVXvixtAVtR
eFsmEMuYkdmIEPXY827O09yRgOBc754u+Na6ipYRl/5DOxaH3vH6uCvIM06CY5th8LYKeVMUS79T
gn9wTetHYIt27qqMMJNYw3x2JP76OvdPweDvgG4eaO8+h82YZKDCmqC8Om6wK2v00uBNEElC+iuw
EncqdkDypqgdslfSlwd81kmxzDIClnkApXPbIa8FzbU7APjYadd7yUizH00FpGe8h0CTQHRbNtDF
VVQX+Q1h85eMTIBbFvlCmHBgABRnqEbbFjBWLfsFs7XajXxsd0FYmxPwemjG9gnRlxcvU0eC3Fxk
26rfyJrQSDE23QDFz6NAcyctA/0ROQSASiS4QsJV0STb9thRn8d9PtcbKGmfigqhsZZw6+PUeLhe
QFWkBkZA5LCiep/7wk9sSG1eMhn7DD4l+/L3Tcgvg/Q61jFQlutjQ511VP8Fj6OlS+taZtZFiEev
fCrDN+b+D470f73F2mn9IAcYXMVeOeAtSGsiz78OzRVRo7//M1ZJ4edOav0zPIDMa6IeaPTP72Hb
g6mnsOBXAiEq8K9Lf5rnB8tK/v5tMCn/4W2AE2AXJh4Lw3zyC5sKENc4fjny61AvaStyNIa4D9vH
gd1MI428TkfG/YYw/r82i///08rXqfyvR4m7Yvysu+L9858MEfjB34YIRHSddTspIHk8lRrX3vcZ
AsuIgWTj6YpgfAESE1wy34UIhgfuhRApPDzDC1tykND9bYZAGNhG/xMQDz3/V2f5HwgR4c+XPlhm
oL3I92BM8XCHwWD++bLMbTm64+DYZ63atvFPVmWZNVPISIeeOmSivIaD7ZSwXzOKIXoalg01hvqR
6Qv3GlSkug6qtYBvztbeBTB0HkrLJJPdyWOdhfW9ceR0HWbWnNZN4J9AYE0Hu57Ke0YnfQRcC/yr
n/3PmQ3ITDHYolRoN0datFcvOdLvYWSNYYlepoH5VW1Lm07JUkn3bRw9+sVyiuXO7rxiiMNcqkga
dNGY5qKl8RA3tIUNF1DUcZH75U1dD9mDLcL8Dk1Xld8TAXq921Y+bZf90uRZG2kHcYY5oZgrkENl
AxkHOxoRikCs00yBMq9oiMZbrWkwkUhpm+FMQCDy4nmNSGsXCNyjJRa3jtqx9P14Bomko0mDpIvc
0bQv5TA4ezYitbNgAUviL32kG8A/fQN/Qrp5QkYdusexcfRrBgXRjurcIM0awoLDnTx6JjaFdByI
Lp3YG5ztISQDdrfQbvR39uhSBEXFp15U+aHxMmc5u6Lt90EbFOPdIgK6MdqViDznuDABB2IUkta3
gvpvRSB/G+f/b9UU8k/KwfpTv5UDPFR1Lc4eWZ8f81U4+F4P1odfQ27Av76laXDTf68HoD/ALeJx
M+grkJNbcY7vmsLqrKGu+HhOBU5KXIj/RFPATsWfDhAERQLbRqLCWVP2UK7XZ4v9eBZy7U9COEF1
tWj7zAsgFctQvVHj7iuKMVbAuer0kPq4wMnobxaHn0LTXqagBmI41e2+LtBfDtyKtT/YG+6SDVHO
/VSMdhr4aohHbk6kz5B0Rb+8OutFYDdxRavTOlnGowVvu+xeaw+p8IGyd9QFRG2tGh24Ox/nYHwH
HdLGQQmVD9JM6pnRjaiRS0oQz4QP784wyIFr+EM4xAxDaNwraTZSmRvbQOq3eXUcZteJwGZ9dMDZ
J0Dm3hXxDohgNAky9vA8xq6Mao5BCeNSJP3wBrHkD2O2cEiIsHvy3JqiyscQKzxRxAvH1FTXPIv8
bO/wfmN8jMUtoDWE0+enJefn3pfHJmuOOf6mSJlCo2u076aiRFqa12kp7XNG7YfMVD1EzqGO8FAL
DCLdCI6/BEHCmLOrHTTpWdB8CFwEWz1i+MBjd2wLft/bonkBKfpkFjYd+6C7Nk6PykbRbYhWv8wc
OKAst3UzeahqLgKjEybrwcnsKM+Cc87tJ6ftnGgopquFp86lZTksie0uPF1CkJhch8jLquHOsfJ3
t8rUFlRqTMGaHpX32s+vAHI3rPFeO+Oo7aDJtho6TK3NVKunkObyHkdFU34u+PI+zfnd4hBor0Oj
/KjUeRC8aiouGa7vPekl2SENqq62zsIrq7PuYMIsZiFk28n3dr02IiI5KeKchebiiAUQXKHqaQue
/8MkIUoViEs7s/oMxs/eEcVDFHYPlMc3gezfOrda93/d+Wyrz1L+sev5+oS675QAdvDCzqffzJKv
wuFvZQ57pWC/4N/UxRYIB9329zIX/gfaKAiWEL0rSIJVcP1e5sL/QIiE8YL/oNjjj7r0D9oe6q0t
/e/tOMrcCjAQb324NXTd9eV+KnMQLX17HoLwatfaRMKlS7PVX5kmx5K5nbo5GMyXcMWenK8EFOQQ
iQ0X4ckT4UnLsIybunwrW3UwLWIEds83hjEFrMep5pX/WvZydtp0GMPbMpi+rBQnNgcEr2insD3A
jnkHTcJttxj5t4F0LnNj7ayienP17MS+UCcuptvSLqAQ9Drh2tv5BNeywODu6CkuQgWzVJitS8OL
vZCkgOsNF9mtNgMxO0NHHUmLvkFDgBE7unsNXaVh/n7R0yc4OmcQaZWbZqC7nldLvMe2BWhW6rM2
QVIikBCJsDcROJz2uljWZob/gWwQ3aEtO8I9HeOpxxaI0rF02tS+3EMNx18rocJ0avlQd+MZ6bh1
twI0B10yndqFAyTb3gpn4BtdYt8HxY6WVEz0NSj1sUTyPcFOFB3BTHquIX8NQtyjpbuCUS4iq87c
Td3hqJBE7qfC96Ow6GbkuWo3IdMakq8DtYW+4iCmjwwIIJFTI8xt7Zb7jrcg6G3xbuoxQHeIABjy
Nk9BxWjkcPMKpnGC9US/9LZ1oOOwn3pzEhqFPgt7rLpA6GIXTsN0UqhSiWGWFc1ef1rK6nNtyekj
vs9j774sNTBknFZjVSHDLA7Ey+6nTvSxBhrZIU0UtvnJsuWwpLIoObaeVJXKvYj2ZdheZu76+6oL
mIWanm+LINAzzqA2PNvArA5+qcatDQx/j8+lISkjRbNF6Q7vMxhMISgXCqGhVYu3G13Dto12WZVU
w8y3FHhHFflS2ye/qoYPgfICbNAAsPe1CvxbDsnfDoL/rV/flf6TevjDFPitt1snN4YlSe5KHPxW
D7EL1fbXZU2/2tHBf/DUT3hM2PAEI+drEf1eDrEomeKZF0iG4hF0aPH9f1IO0Xb+Wg5h7oQEsVYf
FRtY8qpe/KCAqMZdStdk3ZVUzgNonXu7c481627LuRHRNLL8wAlmPMp2whiR1GWZbbLRA08zD1lE
2qaNfDMNCWTGO8KWJc4bn0YT672oW+htT1oojyFeS/oqTyusPdmHXNtRk1f32sd6o0UqCKpqPlst
VhrVEujktEDet2Y3S/zeF+BYABpiWUh7IbJ+AJTknv1xkSfoXVh/5EEV5Rk6Drvyt6yDdBiMwH28
POfRouVDLgP4zFaNSUp3+7ZxN1nQ87QrkezxWf0Z+c8nZOesFWvcKce6x/0Bkqrtzssak1lc/oZs
vIhadzCxVlMKAkzQE+XO+5i/agdgEd8plfFkWifGdhkEPpGyAiA2l4m9dE3aGPEKS6qJ5l6/DxiD
ad9MoHrxB0Gn3nc6uMFaiiYyMrWW09DTw8yCF1d4e0UEi0LjYiL33ZPm+qao5zliY4AU/Eyvpacr
ELhDSgOCr8SBWt5z3u19zYAxZfWdzSd2G1r5p9mWt5B9EYipHJC+FHyX3So76vyRbhwPnX2TYblT
VeJIyMqJRpoEJ7vI92YoWORiCBaBvJvLDh3YMtC0dRDhDTr4BV6IbCUgqjblLcRM3hMsW6HhB24p
ESnUqpaIQ1f6DyxcXqnF5bY2ZdSjCxRjjhEWpQ1np8YBCoZoIqMNurU9OBR/y6LbbejUIi4zKslN
w3p5H2Qt3livO1rUdWEa+1EA9dmjta7LeQ1VoQCacYmlRvQj9oOdNTKBiRUwhNwn5/M8DZ9H35hN
189N1HZBtkNM763GLRop/CpxCXphA7Xj3rV5d6wDchiFeG6W8Li0FL68yrdqsk6twWjekYBsep7R
SJUZzpGuu/Riwe0zPuQ8e2tzrPOSDoKRwqrvs8XJEboaPrSOvy/bnu8CF4K3URWmAg94IpYaedx9
1DnJD2MvPdDsyz1eczrhFB9jSMMK1LCn46+ZuFEj3EjD9cubHRPjxPESmrEPnRI6HpdhgEIt5aGz
hzmeLRyauSnaqOqARS5zpz5ykvGdzHN9I0B1RpMDzQQSyiYY6qfABjnIsRloxjYzCImqwBfUSFgk
YkAkqixwt/f2vivQ9Sjh5Ym2hz1ZArJvg3zv06zaevhdotZzwC2vd2mAKA3OwyVSrdyxHnC25SVC
QQIRooftWlkUdxrcPUTm5siw3E9C3iU9owg94h8s5t4IHkaqGx/pLI6uHg7KwU4gpu9HfwQW2NXb
3MrKSNYA5mVJL+M8PBYgKqPK5Dc1G25LBAOCcj539fIR7BzGD6xsiGolnhBrPrCZ7EzXPfSBRyDj
S3iwSjnIB8ynssNSI6LVpjZBF9l6PmdYVgS2rUrniaa+3RzsYZCR6QbA5NlLwekV8hYWwDQ3rfAx
so7dW5a5czSUy8cqx7DF2iBIket76WofeR+TgVWxmweVs+MMmy0dK1w12G1gyidnEO6uYJ50tshz
2GmukMp14bL/e4QTsH7ExZH21xPN8/D2+scDfP2Z77oNAj2QGqHgYpkiuEGgGz8e4HgIOxRcHwtP
vokzvw80eGIFRg205vi/rKmd3wYaSDqIC0JSgN+yImr/iAUBd/KHE9x3fMw52HMQAmz8FWmset2T
Wc3kilz5xyyU7tZDb360rWHdlEebWxf1cTdIFl6wB67bKFXQuAfjtW6ugu+DTSkFthOctIbgwQJE
b7rJ246ogFUwN2e9WDFidgyO2yc6liSBhLtzvAExYG/ah1mwKfyGJA04gqHLqkiGBovSJvY4Sb1j
RS4fWo7tdYjBf/KwYk0NzaOmrIlZ7RSRx9tPlYHGqzqGFnaadnMzzzBFVS5vMVdsqWDsxnK8Y+ZN
yGZMJIvrycoSC+wEmIgWoYn+1R/4p6wOYEwaSbCesGn3CMFCh1XWXV8F1c2aj4xqL0d83NEubjes
usuAaMYcZz3QAnOTz5hTdOi8d4V3CznqEvSIRjR5+bGwnQdsdmkSS9ifmxJbTaAFPeoR+wrbbj8g
rh4h1L3L2vAdC2igk+X5rgznW6wNOHcwamvJj2IJH6hofLjvqDjaJg+ND3l6wZfQ5w04dQxjSCm5
r2bo5rjzu4/BBKO/awqKtgMGGyM368iS5FlxW6DmYyiagulgDExSIxsw0gjIePISIOo8GsX3juju
Bg9c2uwS9DC67mLfgyDkoc8B+QfxuZyj1rKQhQEQh9ELoe+u3AVK12khu+Aa2o3ZVoCgo9EDriIx
jPBOf7bbkUTh4vNbaygJnGH3U2iP5aU19pdKucaD2qJIkgs7vFS55rGUGrNUCSQCGHiJEL9sDhwH
d17rJiZVcJ0s1cfYd0sibtSXumRO1FF1GLR9aRDxBYWx6KgvGKbDQSEM4lpbMWN740iHF6/Jn0rI
VbHGGNTauUyWtZnoOD7cSgog6N3y5BcGqTX1BpFuOyC2d2DSuqVB84XlJh3yeYswchBLdFIx6bWz
96oWtF99mHs3Zdy5GlpemYNTFPvnVgRHfCBT9ujWVrfD9KawdtJ/BEno4te2T1ljd8BbcPq2bY1l
f4Tc1aY/kKnYtqW4K7Cl0Buq54noNzfESjha0i4x3XgJdDkk2ps09nnKswuRM3KZdRgrh229NW08
4CxIJPdPpKWfcEA72MZjPjSOPcCkaDZNh2SA6pcWmxXGfZktJB4luUwVorX4rFPPabJYemgBlN18
BJx5DoHme4HaiNzpsK8z+9QToB0aGq5VTYhe+0rFpRiOs0EQ22AZYyyN+95P7nlqcUbXWPzRZlgD
WEAOiUsb433evQSiPcK0faTl8kSt7ha/HxgShrUWU3jWs6wS/MIJX0asF6WgRFs0s8NC7rrQeTF9
2Fw5W3NoszUfEBa29tD2NDJ+xWks23s2WJ/zprwLPOlChMHGv4g5WbfPfLzKonN3V/ss1Vk7JMKx
qn1d27eC2ECw4IXFLVLNkaWwOKpWuIhNACXD5v5VqA621wRqKsux9HLm860AeBdlLvkEIUPE/56z
385ZKG1/fc4+Yf3YoP/sqMWPfT9qKZ4o4dg2OGxwjd/G3u+zMohMd6UrYaiGq5/6g0XCwG4jBLfm
WWFprvvGfjtqHQzLzAbq7xCffv2f/oF2+Ktj6uLZNS54ywDLtd0VF/95VJ6JxUet5XBZTBm3egD9
hoBpUH+Tlv9yyRQ2Bv56omOWgznMMPsT2ya/Bpkokv6tJ1hzwT7M8LHMW8uLa79C+hMWkatjp5cD
2wNAWe6FjQUPICTZBxH4/LlRIjhobsIj9THwNljSNd/kxrlzjBqxVcZwv4OGJzrnZZxbL7iZsnYc
N4IqlmDdJA7k0qqu2IraUazjbbCqVU3VMMbAoDIRFV0mPxalCVM3WDTkPvnJrdh08VmDvMZAmiqm
TVmZjcqgZFboyq0K0CZ2s07KuZKRuuVprMRV96CmakiRWNdy41Dy2e2ad9lyLAEiDz6IFqx6Q8bS
U1ub4K+wmiINWbYJ69Sd631mTJs4ZV0knaYJdq5+yQO4Cg27ULv5MjjjfUXhq0xMi2dIZx0GiXI4
Y7zWl7ZzvUNVhOcmrKt0WVCrpWU5X5joMJVkOcE+sbZJgSaiJ6osN7Wn4Oz04aWTSK0sdjAmvFjs
bS/9R0Otj5WdYzmvyF2cUD1HThN+eo7LIqtTOyDINbP1JXp7Q3G6PGIVMPxlL5D5XcdHKx18qtNw
JvNHVhUGnyJonagrsYuYWdokwl3uWq8PDrlF6f9Y8Pl1QdpPKjhoZBspdSg+uDlwWf98LbdGoyub
A33p0voVhw69X+79yIrauN/JHQbaPOFpvfVTncrIPbCNk9q7LC7/x7X+i+kIzBiRC6wIDD13jebQ
4Bf5yZ31NPAOe84ymx9Mlc9xydsMm4eZDVamDBHFy5yNtj1dRFlAztzX2YHiO/LKto6NjwkwIwbH
1/LSY5nCprNxVPZ9A41nefHB4EciQ4eWLfOHtkIDZuvWxH4nnARBeDuiuYA5n8+pccLtRLHoNlvi
FigChtFwtyBRZ3CwwUZAH9ZrXBQhGo9a7sTMkF9AT6JIk05IH9hZmUelLJBlA+JX1xB9cRNfphlp
4ZYL9CQOf+Tow6lTn4c5IGgSGixfwYXmhy2Dci/ufyivf4Jw/1xEVoDbB3Tke6iXGECwVfPnbzhc
7Cls6kxfyFiLLQoB9n1rKPlWkaeugqTDWo5y/VtF/5O3tFdm5Per6o/v+cu3ac2jr0dwFRcs9Xl2
M4CcA1f/h73zWI4bSbvoq8wLQAGXMFtUoRy9Ed0GIVJUwnv/9P9JaqSRerrnj973YjpiQqJIVqEy
P3Pvudu1c+GLDBdVE1HkOW2NwgOvS971lDjlco5pDVmaJs6rxHvSMd4zdte+RRmCw6a5MCvnRo/W
NyGbl2JKmm1TNvXZP3fyx52s7qif7+B/+am+5+f8d/ervurHlUz3yy6PJAIECGr5xmP040rmj4AE
G/isDNSFOJp+XedhrzKU04Hr2NFVT/qf+bVSHqHeoSlG5oSg4W9cyZyavz1ydPdYtkgrAlVo4ld0
VRTVr/Pr0SzNvtH85Uo4frfTtbwMOyRMGfspBoVnnp7OAkGO0NitRFS9E32tXog9FTaNrmp5k1gX
57Nqg8eUWnGgKWP0DsB6sbqdaXD6O6qBnsemvjFtnl4HpPtZsUix7+i4fVUiatSKZcPIFeDOTZGg
NMVXlG+1egTCTY25qmKzVGWnrClAmViC1fVQGQyJLDcldSote34cCwbprLtCsIDiAI18DoQqcI1s
QLDrq7I3of7lHH2fqIcr6uJaFcit7mjHVBXN0s/zzaoKaX1wXpAZ3fqqxI6otZGpTVub6rtTZXhE
PU7lETSqQEcjcKNTsRc05z4VfEIlr2vWPlWlfbJCzi+p9m2xUKxT/6+19xU6UkZ2Aq2Bh+8X1UO1
iVTboA09SQnOvPPpKDLVWgh6DHgAoas1FyW9R5oUHHqqHUlUYzKJ5XVNQH0loO0nr76FPIn3ObUa
77qzPG3ZawOUCdYF8M/1aaTywmDCzdnCzUCFvkO+Sp0AIsTwdwZ8jdXzklC441k5UyvhQvGYhEJd
KIdOTR1QhLUK1uFLpLaT4ncMwD8U0KOx63CcQXx0y3vkOqFp0pqbMEBwkX8bXE4yV+FBegUKMRQy
xIMdErX0vK7CidRpfRPDF/EUaAT2F/J0BR8BDY57AR4Jm+KHFD7JoEAlaMYm7BrpDjk+DuJ2g4yZ
7tS5mQE5YkXxg74AdKXwJ6MCoXgKieJ1AoRJJvutq4Apbl4mYaUgKpXCqSSKqwJfJfsArUBciSYP
UJCCsPTQWHSFZenhs7gK1NLNGvUThKVDBDF3O/VZBtLO5upSkBedpfh2VuAX2cs7V6Fg1soyDyZ0
mD6q5g12Np8oCihuSQPBkX3+Wa5NN44RP5euFWEVLrwQjfd54ZgHRIiQSqR/NZddxybGFBs3No66
1LvAqQ1uAaC+QZrPVxVKwrbqUapO2RvGeZh41mu9TNepsk9T1b1zSF2C1iqCdvIux0noIca+Noi6
ckSN1F1btfU1tRNG83V8sPLldUoZe5nlHcSIdAOH/jnHDRl0mpA7T6TprpYU8qzAn7uquTEl21Li
Rt7TlSoUu+N+HSZ857nGMstWbaJM7qpYTnyokzzU6uyxnKpHFIJsQUb7S6unLyXWcN5+Srm6itA5
kR0At/shbbUzQ44nxNp6qM8idOL6FFVwBQcljaLvYO2uPffNslcSAOYweTC5CvAh3ad+ZYSeScs/
jDWivw5Q4GEyePCazrevzKxCgt6Aufv6z7X4cS3qiD7++lrEQNO///etqL7ol1uR0srBI6fTr5oO
99vPW9FEy6fUL0rG++H0+yFysfVP7HNx3/jfN7eqh/1xK/qfFJ4ZZ7AQDHMZN/+dW9FSLe8vhdjH
rUgtjc6FnDcbp/wfCrGxnju4l7F11c22zr5nPE6Ljco0tQiGcZodH+aBjery6H4MkqT9hvr1vFcj
JqGGTemMj7Vv47N+qrDbMZHSUgww3loP25lp1dzCarLVAKuqhtfFL59jJlvwFm8zO92XTLxMy7xt
ata+aYNHx69ptVrmY2UBOVIyMevU6Cz3ix7oXPQZF8ujgKjJCm6dN85cXAkmb8bkhD46G5eJXEaE
xHEdqSmHzMRGxdwO+jZtFnO8GlXvJMUJr+EeLPyrx8TPZ/I3Y40OMhNABwapjHu7KLfq3mFcPmxc
ZocTM8RMDRPjLD6YarxYd8xCi9iioWMFx21rXWZFc8rVWHJq22/NGKOqUSPLldllooaYk2yuUjHW
p7noIcUlLILdggogU+NPX5fRZfcxEvWHlQ+svX7jwswuR9t9WxNe3Doq4hsTDl0QM1+NMRNfpFV+
FL7GXkgNYWM1ju1AIYSuO/GuDTEaFs7lTQYBBzZlGVO4GM4+GdFNOi0YP3tmPqtLy9ivdSqDhrOK
vbolsQXh9EgKS4b6kqcHy5o5xJJEje4UT3qFjuzM0AvZfAFBjAx8cwtyPrtLdjbGj509WXnYFj0d
cGUVYWml50yGz9Y+vcpK49gvct0mhfcNt6WDv6iwQ61LAJcMSxoakbvss0HmoZ7GBBbZxoIDu/H3
feogppzbYe+bMAQL2QKIhr55i+TP2w+1iENmBOlB14lZGhmI0ktZ2k1u+DaTd37TZnZARTi6s/Ok
1sNdmryAGXgdajA9gfRlyUmwRd1LM75fzO56GPQyjImnYV5av1Y5cR9J7GC1aXz7VPts5ySACpw3
6iVKzPJl6kT6uQRgGnSxXx6WAei7OcsqQB9mXAkPoUFcr1zNvO6B1WrDwZsQLsWTTTnnDslXhhUu
rm43Irun0A56n+4GkSsJFotXUIZB4ROuhOSf4CQ7ZWySTt62rYt844ypc7MajCTn4daZiizsYIQl
m9zML0Eg9wcomd/6cn3tjTHe9TVK/dzP24sE4uEGm+42bxvn6CwTQCjNHfdeVNq3rIYeUJH12lbv
ByhNsTlz/SRD/TbxU7mrRvkap3nQeXGz15Ll3tAmA6iXdDb66J8oVx2a3sUIfARTiD2pzoBmwy2T
7A5K7YSB95BY1udRKaAgDtwXSKLctLzmQttomnvRiZcI4dRQOeMTSon3CUnVrLRVpVJZsfuYzocP
5ZXSYCVKjSUz/dzku8V1fDaO9rcGOuzGWPMLfdKNYPTdh1Vpu5J09ZDOFl/ZoaBKLoojtpgbcEHn
AOmgUSuNGAkyUKYSAwLqGIvtvFRzMCpVWctfL5XOzO0ssSOTB19qU1wNmrzLEaXpiNOQ0XEK6tjB
XIRrCQK2OXMctCRo2saukjtjMKAeWBDR2SeNSgHnKi1cjigORNzj4KDkgL9y7c+UpZVSz3lC8DeV
om5Q2roakd2Q6gdAkuVmZOqVKh0ebBS0ikqbp83+tp/b906p9sRIeFFsOs/owAoRVoj7aIfeKsR+
5SCeUB6KY1JQWbTrK9Rr2M7VfOCXznex0gxiMiQhyb2MERPGSlVoIi/MfK0KxsogCM2B6NLgKkOJ
qCXTDVFx57nZIe5ArNh7/sFFvGggYtTsZi9hOvOebrBq8v/Fl9hLErx3w7cucZHETX2IX/LYK/rc
oMiCdnYDh1fjLmCPZ2Fi7vObAnCdkcT3OSC72CkPriLbDSDu8qTfAEFF1xh1blAwCI3gjMOQAYsz
Bx2YPIRP75HqE7jHaBk6z+w8pDIZAU5Oeaur3uKf2uh7bcRQ569rIwJFvmB++tL9SX3EF/6sjzA0
qPhJmCmWzn+oT37WR/on3xcM8j8GAx/62x87c+8TUUNUR44P+Pf7Ov1HfeR+8lQpwwoepL8itPyt
+kihHX6vjzxcV4zHWCtCf/ddVT/9onorpcdFMnrVla7n8gCNch9LpPatNZ0N7rhACjG783kwq72l
E13lz8N1mdpckWXx2jKnpXXqDuhKROhb7bKRk2ORjBQ3Gy7nFbXPZMLjIm7LbZx1C9uwuG6k/xgL
XK5ja1kbTNNnkKPPUWqyc/W5crV4jy//MfJktVkb72JtF1TyVTbiK+1Pskjxx9vitHpJgZ/fvUBH
/VkK6CZ94t34k8tusE1Q27VfTIZqAHrlw1iIOphop8FckV6XjeuFU7qPc4Qx3yCwy8+rR2cez/zM
OJ/c/F4TdHe0xohW489ly7BOM4DSR9OZi8uoLNOdIbVnM2E/z6weYZ+LIaQ+r93qyfScSytm4RmL
eT/O6Ap4KL6we2fAPudgA136U2eNA/A1rADb2YHa3iyh55VDOI7jQi5BcdVOMyw1aR2q2EwClFqs
L1kiyHUy9iRj7VKnQYA2phuRMarVzPXaipw3kBP32bDsJo+D1pLl9Ww7uyUujgmA6wD/+LUzuJ/j
JpJEDy5PToI3I5lEvaWKzzb00NXOSpYOvKlLybvesKV0d0acn2Yjf49XhhVeb3524tYA6GxGGzCK
V+nompd55B5mT941l3Z8dFD96egbnIXIMMZYqCJGrBYN8OJ+TcPe6sd9O3hPsUO1MzQE5uVVssdY
UwZZUb2BWqu2aY+9wWwMUF2giXUK6n45JBA21ED5tW2td/ZG71Tk8iAb+1JhnZlKkVTJiDdMl9x+
sAQCDWJBuHaiZFOVDblzzjEXBqz0eNd6EskYGP1wmWeT5aez7L0PI0Yphj6cRu0mqaev/ppNLWFf
sIB09HdrY3eBiyLP1hqT4TijE0fpvkw2QqXnelvb9g6mkvVV7fwFC/x9ohOn1xWhrrhDPLo8R/5j
ZY04z5RAkNKvCRNfzmHmDnCNgBhzlSMpBHxK2qXIb/2RoBozsgJiSI6l75xHY4eAQ0kTc5nyuXBz
ggmRku4sJWF0+KTvNCVr1CFFny0oHRn6v1lK+tijgfSUGHIG23+s6eKDmGCrjbaiZLPR3kmAgVXF
JyVVwkpgRdcRSsu40NG0KPGlgwozL52XHlVmV90ktl0HLYJNgAgALJzqcmbuFUCZO/lm9ZUhAapC
5J5sp+vQRdq+1WYt29ZKFToJpYVt0ELEq7ZHtJeuL6aSkbbnaXpkUxYmFeuJJuIxGIvoy6L0p+bS
XERKkVoiTZ1r+1AasUatGj9oMnvPBj4yZlnxbCNs7XxcWErpin3BAned3xP/8c1Xclg589xZSiFb
lTK0ST1hr4b8bpRNea6Zs7gw0NZqzOYu5xFiAIEXaej6a7SdlRh3iKJqI1sEuvE0XoxtxlBNiXdz
P7mLW55mYUvj2OZpHNoR7ziQfaJqlvWGGQgyd7VJ6Ypx3dSohC12p1T4fLDilV2PpsTE4JGi3bj0
EPqa3j7EvF9KepyRScFSrbkpbOssR52sR/p9pMRvQPFOkZLDWes6J0FXtW16Vc9G+5T5cFFDpyud
dNMN6dkwjPCU+tEqTHSdUQldK+mePV/G9j9YNuOjJlD5On9dE5x/yf5kXKK+5mc5oMihbAEYTCOJ
05W7+mc5YH1i2sEA34IR+r1S+FEOsPGHbYgx0uUPf2eyoRNA5c2cBeGbpf/NHGO0en8sB1iT4aqz
YB0pW7Gr/vyXcoBPi2HpTSmusjGXZ5osmuhunjNYX46ZZPsJC16wuLbKIxFsgPP8aLekvopBE4cs
InWnWEzS8Sbdz6jSOfxnOt7AJjUksArj3BN8UqYU51+GLlnzU/TrK5u/Odd3BA4wEGFw4K/eu0hH
UifBKG4jcD44WWLJFHs6S8Hdah/cW6Aetz0oXFMxcXNFx+0UJ3cy0n0OOHclrXQCpNsooq7uwNal
XWTzAG63J7HKhynpRgMAbe+KIuNoeu5d4il3X/ekSbi9JeSIJvaP8JaSI4DqJ0VZ8UD9Fqb4TEgK
B6Tnx0RtwQM2AAObunO0vDpM9QjuTP5lUARhIh4iYD5QhTvFF05Q2lqKONy2LGBdIMSNohFnrYnz
J79schO9fCovGsDFLQDjfi2/9Ypo7PeUQtU0cUPUp0JRjwtCeQQYZGbZARxajEArh1kGKtmtYSZb
7nJagSh7bXyzKKpy3KfHQXGWG0Vc9lkCVB4M5lrRmKG2HMypec7ANIMirjbCatedXBiEyDp+47RC
WlcbYltCBXUAPueK/IxO/LJULOhJUaFpKxi5x3Zotd8GxY12MgjSkQRHLZHteS4udUWZZll71Sju
9KoI1CMoak8xqTXg1BmQ6pzMCX+EWm2PMEL6mmgsWaJEUmxr7K0nD9i1q6jXqeJfk6bwzBrqJKT9
Qh1505BHOrbG81RHLTO9+BtzFyQYE8vzugOw4y6HDK5I0H6Qt0Fwzx6bD8hWLChquUvBdC8xvG42
gDsXgDepHPx52tbtzkyc7nUkp+x8FoLReKE8RT3+4XzL2sbe8/s7h+LDfsShjAZvxFPnohR1NaZo
nAZb/C8wdBuUVajZecXJcwHVHfXQS/pk52sAh1AHsispa3STy6hfrXwYbhYvdfeYX6ebWq1P5sk8
WVZqbWwk4FbD16xJrV2lkg2aO+sVSRkj8nvRQIDJjAWLlJXMx8LVRCCaKjl53rzu3VFMYZUkPcne
E+BfdC9TX7x5urxq4G4FHFIXFpUZC3n/Bpeg3HZ5etk47PNN43HyxHLXkmDxXDJFpUorOqQrLCWi
FrxhzwPZOlYWlp4MRpsILrzElC8MZRgXeDw3Jr2tW8JKMibSAwvbhrxEXqCrLRcZfNfM5w4dGkwQ
Q+5Ae0+613bQ9oaFvXikcGGrgGhceCfNs8TJkLm3rWq0+aS9tC+m2+DQKMlqhcGIyRceflDGbs4s
rq135OQVrARX/a0xzCdShlDSMIsIJ1Yo+3KdOZWyXOyrAmlqx5h3j9SuCgxTvb+RU6Dei84aP96T
hXOZ8InCnTOcUr+9iSd+a10TtAUwaElWSQrWUJWfd7Bi2guSPr3NHGNrsbyBdwiicd1luz6Nl11R
FqhsE3vbpq6/qTxx5uFoDqZa3ycie9bHdj9o3d2awfrN85aN4oQQhSVmN7TYLYcihlXf7qO6PjhD
901aRGgJesktcAc+sEQfmxfeXNwXXZqf+/F4XfKKAsFJ/LCoUOtI9nUi7R8Xp9xNdn02RN77TM4S
RXlxQp00h9KY9xA87/6ZGnyfGvzPCoFOo2+//IsMrv7LnwwOfq0UDMJDEb4xHfihKfhZKZifkMSJ
H763XxWA3idD7WF8AcFApyzg/v7P4AAdoRBghBg5fOjw/47cQO18fh8csNVB8sC/SVOhlA9/qBQK
d/UVOOUqHxNi4zZtU+mnfDbsU8kOI92kTvF5SSX916ydeyVVeCoKwixSZxvjkGUxmN7Psj/LvPlu
1OfzJcJZVseOz2LdIxooWUlc6x+mAj1YYR1F4lC0R9DLlK9/nk9OTZb9DGwhWek6CkbX5HmwinX9
GRez9c3yZL+ZPiCiCPU2xM+YYZtp3DweIqM09Yh1YPJHLsPz4rB17XJ7CRkuFlsk5PdA9LAADBqx
3lj8rRoR8TL1JEw33N5l9EhM9bY34ZDgStqKZHp1UKmnUVNsheG+YXVJNqOTPDnNzGbXpTRAWD00
zL7JMHtypL333HrdRJO1iwk8CKyuOJjOKLZj5R26GfDtYo9twCLjdami16Kfr/QqbgCe98+J7ieb
ws72xCwfmbiXO2NWyoeRaaUn668SMcN2Nsqnmp0qbRyD3mjo353IXC+7bPmS1CI6YwhMiKIwOU+k
E2qlZwCQcdHbEcG3SZDKBRU35X6asjNDNCNNAtMahqZtvyMKcrPaLgDDyK12aEMQiJDIF3oxvYr0
V4gKZtldLLo3bzNqhx0gu3obAdXZ9Lg4g7bLYnYtxAQuehKFpd4lZ/TJ+d7zp/7OFOP6gOsx3lY6
0VrURfoFnjAoG1OWPVct/iQm1M4TXXVxi+yxuY6pTI/IIObzxo/o9Za8OingDMsD207Po6kEaadV
M0CwNcdqUAAjn71E87i5teZYmjpsdqD2cTzVn/WFF34fwfd/0VJffrM9+uvCN0kvg7AHLczbLIVJ
om7KwGlUYN2uJVMN0i4XH6/6BDVSnneQeHWF5NWa4bJVkN5I4XqB5iAbUQhfV8F8bai+tsL7NoVO
OqgC/kL+JTJQAkoHVlkqLLCjAMGrnUG0UdBgV+GDqw+SsJncuajXGbIDGa4Ubpid0vjgEzx4dCrw
g7HCEgOYhFYCqXhWyGJy6bazghj/c5h/P8xZF/91u7d9z/91ySP/Jz0fY9n/9HzWJz709G3Gv1Hc
v/R8NttuRFsstP4Nrvm5Imd5rtPPIQ4jtFU3FSLi3ye5DXcXCxaEGsexuAVIT/obJzlXzG/nOLo1
ZtDoxUmlQJ2ibN6/dnx9NKRdvpbmdclGRM+Sc1dmG2tcwl9emevv0sdfWfCm9/uFwW9CtayuLObd
sOzEHyfNZIlmLAiz6VoIsl56ouvsUFBAFQnZXpUpYRJOLmuPvrryl+G8yerProm3qcafupnA14ZZ
a2RnYyt8qJrI0izwW4EmagXdaZ+mrq438EQBUKvNdtzld3iUvI1Z59eVnuCXccGreo3ZbD0S6DYW
zQFbU++sIarCZ6e/KbFFbDGWsQ3Oyl3kjDvTFv12AHuz7TAJ1a79qHnuhW8PPk2X9RTbeUV+hrhj
xnSrFfOlponLPsFmhMsFZoVH++iPl1NUoCD2jc8EwsDlkuO4NVU7OIz9jdBWyq7h0fdwFEn3RRYL
jEYGQtngkmW0JNeijc4c4tt24I8Ojh+19JLEWlht+7ly5CHxaMbzOD5jtvBaTnG2Gwu95tgAk5NX
M2YthKdBzqxrZ/TrCxxBdXqnV7bHwbzkQH0J5GggS6LB/tx28qKaiyGojOXWbYY91cSB4aqGBoDc
0Ylmgg6diNHYFHfagsq9oD/duP6L3zPkRNM9NNxS3WBnAQ/EFlWky/uX7hlvfvMWxs26Iy60cSBM
p0SC0KAKM1AumxPhhwvyrSk2kl1m5NdkDaY7y5r2a2FfSBnJoDfsvT/y2sYTAmPNEeO2bvwXSpAD
Yo3bqlyXrbV2D4mDN1mSOxdYfX7XTcMRsf24bS39Tc8XGchpeciTRJAKu16ZM+biLk5HIvLar0Zu
fjXB2W6y2TiQSnGEPmCQOzXt0WrcFIQIYwVyzl1rLTdOXr6taf0Uu10MB7e6J/Ep3dqNCxB3sPYI
FAjpiHasYknA4xHD8GxPcWjMcfMFP5Zsd6un9ctGOLQdhj5nyYjCuqX/taem3OrutIOupvauIHPz
XOC2XYyNHjFatK2vzFeOiTB248qkGTxqPT5kwlLb4cmgsxIJjKcByPA2S82jxagUv+Jlr+boXvOF
3LJbI9PewWoTuEIWUcXTiB5gpB7retzV05ae2ThCFUHZMI3nXksMmEaFJZKMpr0bE3bdcnp2Urej
easvZKJHm66eyUpjlGl3QEdgOvXdYZr6JxKVmYL66WZMdZI5q4vM4SNrldk1mAHEctpxzRFyxDKO
w3VekNyMyVdnWgpwsvSX82Dcxr2zn6v+PSPRDCU123GnfqIPAoFwjG24Kb12WBz3C4CWl1XgScEi
0gVL/pLbd+PUoVMYTnUlg5xmnMCQjbljph37ds/c1Qonyz6MJtp6I0YTstbj3nLTfqcbKGXkaL+U
EFKQ1E/bSGtbmFE18sTyaqmmZxjbKCYW+6Hvde+i1sgcvlflkfRg9B4qs4AT+v8co7+rfNUpynWB
aphzSLkWlJv21+O66zrLjhZnuZ5Q7wf2PjrNd9XFMe0D7Uv5WIfwuDdREJ2RHYL3a28d//f3V3Kp
X3Tt37+9yvQQyJYEO/rfv30bDWLUnGG9Ht0vdXT09R7k7YsG+fbvfx+TGSReJd2x9Q9j0K9zyJ47
KyH689pIzmNq6Dx/9+VxGrr/5/v8fvt9fzl5PbkDISq5YBF+/30aljiCAB/92hFnrQMwjLG+/fi/
fxf7z96zX3+ZP3yTIdb1zgQldj3uuge4CuF40L96WwWuuCh4xoJbNLxBsTMPny+9bR5cjhfJ7qEL
o/AmPU3BgeL+nDlRILfVjv+FD//75zP/YJD4eFMRjaPSE5ixxYc15ZcXOye+nPg63bhm/noZ3aDK
vDAe5clkN7QhFyk4PRv7eXPZ7KaDEJviDJnrDUqdHfi3zceP8g89Rz3Af11Ihvm/tlULQedPRgJ8
4Y/lAc4/wldg1BC7oPSUvy4PjE/Y+yDrAkJkFeDxiP1neUANaf/kiamR/4+RgJIZmAwfiWpQG4e/
pyXANfXb4YDW0uPf4WTSbZAkTCj+8Jw3MpqFZozdFSG5D5NCaIywNDRKX8baXXutrQq0wWX5JGwE
5TCcm6B3NRcmBlrHThvL0yrRSGYrZ7QOwYOloctgzKN9x2SxW222A4WKwaYoUkzsoWKg6iOEV2iQ
FEYI8eGMCWYvZjzgfvbhiHCrlDtnhQ3jwhjhQJCHFupIn8yP0USM35jWd22lVMta4h8MXb6VMEtm
Sz9DM3dZ6TEdm8Ka6G0KNVQYWAlhnuS4mBcFQamgobBvfo5689Q7dUc8Oa6KUeY72RD9PkyMMBES
vjqMHg69Aq20RKHv/Gp+dyrnHUNYukVKhxUBPos/W0+lWZUnhPgQ/2G4mGN8Q2IXkvm0fvPL4ooh
OR7e0d1osVNVDzPRiiFHzz7D170XoAdRRu1khYIoYjcKgvXdgRg/K0xhldd7G3Ch2063k5PJA3ME
D8S9YG8wres2TTQnHLT5yo0nSP3AEBOgiKDP2dSaRoUU0AMtq9iJKRDFfJyOltO/EL5N+rAFZxGy
+tWqyIuevoAVQ7h3PXc0w3U/r+i+uBL9czKtvq1DrMADpGV06UBa/Yy6zF7zeV8kKDqaJPWPNTz4
GyszP6OBAriyMKM0VVKAzKznVXeDGtC6P9wPTi4vyfesT6tetEQpa9kBfFs4pfqtwSabIsNjM4+k
AYZb8qCkDsj5Bi+wNNaruFHgGjg10P+KMbWmVdcyjUis6+TedLBfagykphRM0UBjlDsneyh5iRkQ
Ren8CGD/q0tGW6RhaSuNpkEUi9/D1YYvdtGx0LatZ83MXyivQXNKd7/4NoEIcXowdYQSLm7MGY6w
ZlrQHog3WMpsO6cuqKTs3IncC2PQ6FYWwPosgfS88sJx8JzAEQvKuIxN2ailb4ajPQkThV483+Zx
f76M2j36mZee65ImwYfeop01M843K/o8l+nZMiGmbyLzQRbkg8ZtdB/N7lmf8grVpsTbWFO3Zp5/
WZr2c+ROn3E0rUEucQzMGiW1m+ivne3fTm16KdVaJFKQKXe8mgz71gJzHBRwGVqyMAim2tied5K4
OwZnOqs18SqX/kG1K7IUqH4FcX7rwWKkXeuY8bNueRKD5+1TqRWkhCBl45irGVBrTOmUNDGaR6Zq
SfvUdsXJ8seLzDKPsb4+DCUy2pEs8U1jTUegb8mGBxZBsZbforp9ra0CiV6WtwGBB3uVnR2io/NC
DB9dyOyy2BE+fVhtpDb4fFIC6evN3AEAMpEVqxOXU8qowswerytgyIGJcWI3jMuN1EEfGQSs6rwE
nEk31uJcpIP/Bp2EZ8t1PpsOWYp2k26sAZXouNTMtdQR18Yr0FP9zvTLXe7GiF3qrgg6JN4+O6VD
gUIE8zOKn6J3Ng7P27DKO0O3X90CJaA0vQvyrKK9lJq2o3+/JRWxRd6cGUTJu69m4mahUeZQAZwa
R6dGrn1i2ipNdpehRGz7NbpLG5Jgkta4L5MRsxeRwm91rGHxGseQHCa4rMkjiXxXrR8fiBP5tlIC
hz0iKCS+OpLrhsDApBOaH9A3F48FWnZ5sZpyCXpnrEIG2GfCa+99RfRpFdtnXauXamXxUNujRWrX
+hSNsH3csXt1eq3ZrEN7DU//MgYaZAEPmoEIGYomZJXtKV/NMJN2Hg69uAEedDH4GqNVxSJKgRJ5
wIl0jRFlq3hF2Gh0Kvnh3gJllETMpUEbpYpxlIER5qdZn3yFP2qWh0KwWZvSa54HXgRASQXApFUw
yuyVWHzUMSMpqtLs93clmCXD6U462CVbnz+XJvNmW1w7YJlqMkYYv/KpVsQmN3doyxTFyXeY5CUp
y6JSx7rCGbudkvpQAn9qFQXKZXsmUwePjCJECcWKAhgFNapOj6viSGnZdCw/yFKKMYWhwDwiA062
viJQVYpFlelYggnaMgI5MyZQxKp/qrLv4z0qlL+uynZoh8s/K8n4qp8lGehpAg1A0YMesnSbau3n
lgZ5J6m+JmWVzt9Q/PofJZmLnkO4bHY+xncf1dqPkkyAcEDX6QrX/A5F+juzPRcP6a/9GiWZz7oH
TzkLdlIXUI/83t9kBeaAuY/cSzKeT7JvxvKin8yFpX8x1nW1LZNh3XtT122KuJDzQ+Wr5LjKZwnN
tRA/z1Z3V8TNso27MgN3OuyZb2/pw5lM6KXJUDp3gspPXy1UcnxQRRIuWtdsy1VcYgCCZ5Nrz9VU
3GJ3eZyGyshuevwmd1gRDv40g0KMUD3zSZZ6ol1mEatbPKoN1gpNPi91H19HUZw413G+uNcsdhm2
2OSAWwHsmL7aiqjQy3vH1axdxDk1heSVRv1Vo6G3eBi4iEcwftNjZvoxlJisOiQxEVJcwe3FlNqn
aRC3iAcW9Nrlg77m94ONYr2K6zdTqUudeGD1QtZg26ecZ9ZrXKZstzX70hlMBKPzwxATpmRREGqj
ttUKjgCpRJV2XRtbb5mQepVwWAw7fkTD5zEnypC5iTtguFcATEmc0ZKvpu/eF4P9TrZJEnYFL4rw
+hvXyrj7EDUeJv79wCQU52WxJPckASv6yoymUaO2Ivfum9wwd1UJcam0eqisqXmIoXKX49hu8Ykf
rZgAFEGSC6YCl4gi2EyhmTY5B8dyYq1+E5kDe3ErZuVgm4cqY9BkehlJpctsHhdgFYE26F/1yt96
Q1dstEhECBa7PaHAX2RcnTm+e9ZZpLujoGGXtfoYJRHw+3G3myPtq/DXXa7PR9Dfl7LF44F3aVu3
QFpJb2GBEtXf+orJjJNMRDppxdsU+zN7nPKJR7oPTB+mv6NKfx6vGxSTPbKK6rIXBLHaa3Sd+4xR
JWA+GRu3UY29eeBGDfS5FaThjOCeuHRjUT0NqQmmQPannnewJ0WWlMNkPwt0yo7eVOFa2seCROK5
EY9G11/6fXKfEv+0SfTuoZDxbWzHCVLIYW9I5TJ2eisY4/Z2caN7zBc3azPwETFYdi0Gsgo/SZat
0UbXA97SJY80loDaW9toxBvYdbZfBJfUavg5GmsWflJ0LAV1e/t/7J1JU9xI2K3/yo27V4dSU0qL
u/hqnguMwYaNAjBIqXmefv19hD93u8eI3ve23QUFlDLf4ZznCGucDnkBjmfMUa+4yKuKNjOXaZc0
mIX6E5rfb6RFHlTrwnqv1dmJCnaFujySryi2OsZnuO4lYHIrXVkiwoxZ9JvRa65eZX3ttFBf8qh3
i2hMnWXYmu/p2E6LuMg/tVOxbEj7meb8RymHaWFlOYrBuLs3+inbaRafTn8u6epEvSWjMXE5yq92
b98ZzDD3XR4zda6MPW2iuQIUdwo7zFuOxZBYR+mx6cvoqgIH8H38KU26SxDy2e5DCSY1itcq9W6M
ICs3TkI/0Rc9k+lqGBdl5nzuBZtXvdLffcN60s3kFeDdvuxN7vmgoZ/QjDer1h7qWUWRpulDCmxk
bXjt3Tg2Yquc9DEfraOt5aONfXgM8bZLa3Buzcgt5ErVOpESYfli9sRxGjaodDApi9YmpU8biKmI
6a666aUyjcfS9cydp8/qKU/eTG2XkfIXIv6tMF85FjWwF46vgAzrvS4b6M0N7oxCT3ajno+LVpKt
h63uqUBS0aQEvfWhixa59ftV1TJCjgpQX5nSLx165DVT3bduGsnYtqksI6NbdT45w3GcITHSLHy4
bekR40zHhsfqldF6uhQ1nHzd7+2LGmwFQqIcWHkYIcCp8lOfUcCMLip0MSG2UdnA30mB7jTHlbKj
cTVGYXFOZb8fU/8pzYZhlWoWFBeJo2tA2bYk4fDVkRldmB9NazvzN4Fljjsnq8p9XlibGMn6KoSx
tnFdGj/Ow2mbReVT5dqbrNLwx/jbnJL9NtSUA0VUeeAie1hqTUq0okZ+CU2Of+vgkN/IUuwhaJzY
p6OzTyN3S58MXha/59LvxvEQtu23GKrqBniceTAKE0k8CuN1PATZLsyy6X7qU/42/ahtbBwFC43i
fhEYiGntptubYEEWQrgTK+zuGCTewfemo6amdAUvsNr48XRbpf4KQ+adqxFyONV0emGLfp/6/6Zo
w8+ZweIhJhFqU5jUYW2oVcvIbF6dErVDSjLvdnBZYI0COQJwFmjdSXjTKPZtPsTyOFfdtiimo9n4
J3i0q7hkTMiKfG1GJYRBZhQL9D0Xz45eXSwXSe0zkJAebaqj2VjIbeCf7rhmaczYeQLDruv9g2jj
5zzWbpJK3cXAZwke1J11VAmgdFbxlkzyPUh1a9OYVr2qlMWXxN236hMiFhXdV9eqi++12AGE3q36
svKXuR8fyQ/UAb5EwUMZIqnq/UeHZmph8OjKJH2v0ubRNjUoMs2l+NiGICrzbcNbC4/VBKChB/zf
7PoUuw5D024nHVyilqizQJKA4TU+JsgplhZ3qq11HGBCINGrd7L1T64/pgRCjgecht6qjDWA9dmX
dKwuQwarwhlTnPBEqPEHPZS1OIIS+KYV7ns/0D46TFCyUtv5dfTG8m9Tt3mzrWWxrgv+tc+1Bz3S
T1NwTEmLqlqJOj4GUh+9hDWHb4daJarkHkPr/Klxg2XtVIep7uncSBtUKZ16xOhnmPg8K9+gLTas
N5PIjwVr0DsVBfzPHOAdAlhVkXZvkcaA78RVWyq3JyqwvRpILqbSYWflHCY7TwnsU1endIGv91+E
yRcvBiANfnSMmVptzbR5RQH4JZDgEguU6rpMUetnD8LkwvPIA7VDgYjEhakfq/uq72lHa9IitKK8
KZR3wtHPFhUXSasheJTA/9kKpltccfSlBkGmok8XdBeI28n02GDlZfYzseDD5HOXdiU/mpt165C6
E3iDQkFiztVDtZdmeOjH6D0UttoEvQs0MNrm07YGbWmQSTlmKzGcXC3+HCYdK1/LSpeswbdR1EF9
lhQy5vRiQrB0+uDFddQJTkdFyaGH/LHKZ8DEuBWNPrK5iLvqyOPzORgZq9G/PQhUtfgQoENUa3dn
BsnOwD/cNfHKd83iNnOqFDxwphzsBYCMtC9hl+c68URZXR3Y+fUpc6++c7tNnnTaeDvy18l0W2kr
y2d7FEyyVyvXiw85bObFACAM0V+1nbyAhj7XNpqMilUWa/1GWfmKXMp25XeQSF0B7N7twKqMgVij
8r03q+yut2CDsM15L6Pqi6WkjZ1P8JMSUO/Z3j6U1jNgsJtBefYilEW8DFWTLqm76mUcW2iB+pl+
yWCE62SkLtS52GquNP5+89+O2hxQIoKckLhV8laSwloNjbx0jSLOSp5mXdciq6Nn4Y0r4AknQrOp
bvLihbsF1zj0lDhz72ulrEPT6m+T32XbKdLxK3XuzuraGxxdRGiH03aglVhQ1/Qrx8++VX0KFTWE
MqPn06YEfWGVySeDhM2swXxlpznU1NQ/eaDN5Ghz2eFJ3rUdT3Rk8A0BbC9jC+lkLVjb1pOzwLu9
LQCMsXSPn+ISFXF4jQmJjOxx0Q9owyqcyp7bXTSEN4wom2tqR9/wv7MyEVjYRnXJA/1ik86SZN3F
Mq4OozoNQmRVacGh0/MvcR/sm1A9NrK5L8jkRLepr91qOzjyjq3okrr3MpbGkyqIw641TsY02E+j
nPZRmzzxBu/DubWX1ILrkOTfI6fCkwVe8Us6dQGs5+g4kFuwqrsoR0E0nftuxELkiK9Fp7O3jG/7
PnuOCxdbHDSodCTB1M5Pygy/pD0z0P8a+o+GHinMPzT057fq9Q3yBwBG1Yz7b//v/343dcyv+tHQ
zyEFNosU+7eUqV8bevGLweIFAjCqR5Rq9Pq/NfSOicoefBthdXg2abN/NPTOL4heTDlnV8EfQ4Xx
bxp6gBp/bOhJJMPRyGCBGBjH+uMC1tSMXjRlHF8ZBjbVgR6FYZzqUksj0iKW/Tr9OOXaMipvBV7I
1kiJO0l3w36v+wApKK/C3lhEHJfhfG4WHKDIk6qjPpDD8dUPooGwFTT3TK+MJQEw1zGmKrUj+BSF
YUMkpZmnRbwOWtIt4EQ+43Xmvq7iY6FPN5mD0kH61QOF3JZZ/LRpXcKf9P4bC5lPrFf5AuZU7ILB
3jDQzndW7d02QfTeESO3BknErFVQqxRweNDLpDeaRRpzQ9LxLMq4url/ixRovu/ZCQQOqIGhcned
gzg8jZHZgRm2UIdyp6PWw+2UgOUou7VnW9GuMEEdelCQKDp9Z52W4dcW+jylNd1YEENMnwodI12Y
JYtWMzWm/04T7ojzDOCgF4xYFwYqdcwqWrJD7MiynRTWbS1EcsQzE3ySjRy+OF3F8y5TGu2BdECS
vci5EUpcUBYeysEybshzYfBSc2Y7pWy2lYrqTZinTIwB6qHXjtwvvldCHzTMaYUhAWFIJ2Cgz8zq
QyQqPH1tYx7doqJzTWH9BLyHrFQHS2oOmRJxrcUbg166G2UsXgS5zKsW0YQso+gcMstE403YDRHQ
IQp+NK3TRrfTWwslO+qKedJuVvFbkrdfyjo+5boerOgHtglkpKW07TMpWOdaM/ggQZ60i+TTELKy
MqpHQ4tPUU/qQGmkn016uzV90atFyYG06ZKlA4lkYUMGIX2Gwq+GDxJXhh1G01nYOpG4cb+Oi8hZ
mhZZEPEY7tuUkmvwwZEM8E7X6RS8TgOqGB8uB+3XPLlH2L+wSQFfYkR6ZQhVYcDTYy71hvBleIat
ABKVjvfBQMrZ2GT2SnUYZwktMBd4iy6N01Ps63a+w+2EQMkN1oPi/4z4uqHw1pKZ/ZLLFXq+TeKR
O6EPHUPVrfRBv0ibxPaYhcNiLGIGw8C3HGQLy8Ymgl0ltbbQU+PJGYji9cf8rpcDic9j7y39DPt+
iZCJHRz+Ht3ycBHKt9QPvrHrSdi2JEvWMoQCaNFNa2dYfwiPE3oruYrGdJ0LcuazvPc2Lh99XVjB
KtNhL698m7n1QgvyqWfsjG36kNVN/vm/++Pj/hCs1P9+ILxPi7dKPSd/vkHm1/24QQRhp7M2h0WN
PUd7Idz8cYMIB3k++3nX+G7e51U/bhAiTU1gvyjqeSG8yp9uEOMXlKNMcEGEssWHk/9vbhBGzH+4
QVB5WNgDmI/A4+fG4v39rCCSYVllg1aO58FkTAmQVUfTWEhEk+/6NGW2zrhTb3LMKoyUpl3uxHGf
sXyLsJI6VvzJNyj0XPZAu0p0cgSUY7wCMKuXuec/o9C84yRNb7g1QhabjrEBVBYsuCPrc+4472HB
2ROnCM9JHFYb+ndzLWuM2DyHkgNQ2KeJYmuvZUlTLpBgZeNycBj7RlFQXTifmbnRvzB8i4/sVrJV
XfTjBk0oWd4lR1qC+nGJ2JJxIqPvi9WNh9hWJzdv/GOqkngTax5lIVs9F1YqIHikfeNm8CTjkQYr
eGkOMSzyjxDERG1Kt0WMZ2mPiSOuhTNkBxm2n4UT6is/pcinmSiWgTdqlypyXvssmVn7UmyR3r9P
UfREx8Bez+pEuu996Z8KKxrvaZR9JlshHHmTKKswemuCyXg0yDu5nRhrbzrI6ytZJywkia0i1MfL
vCMLTrF2el07cMPpJ1tlzVYhxFwEVeucKilvXSzhd2jO9n04ftYKjqzcyqyt7ua30mHigXgUHgJI
6VWYD/l+imneLL0H4zTG2kmE4NrkCG/xsSsCprW6GR8bfxQNgeUfibgTJrfqGvK366BIqfMoVMls
OBD4/Fh465xrrqc118L1SMPFoaLZ+6IZjc+a0SYKp2Y8HYgL8K6KRWi5yCeXropwE9O/ejRYNDix
994JLz4ZzJqB3E13uCCwlv13en0/vf6x+t1n418ss8RPta+wf3GoLlFpW+4fllnwyFGw6wbC8/+l
sv16ckmOO4tkBIfoD4xs83n3o/a1fyEoRP7I+5oJJ/9CqC6c3+vokMLDRDHn9wA1wkSrRgH+88ll
hkkBOFA2lzR2QtI7ErUa8tRyp1vEqxPzA+WFBBGvrbDTQ/aiHfWELRpDsCclEKMnCVWZyZEU4HK8
ok+x6bldMJ4VCo3BKcEA2UlobhGKszYjbTRRNUNKP+qMleZ7efY0VU5r3ci29apsJYEfkVFj2z1J
FUIro/pZTmAzJvbfsDaYKwxV59ULnI/VNqoL7xyWergPIMYtyr637su8QGvBkrlsc1hwVhylK1H2
3ZEkpHHDBiq7yCRuPwkn7l/0zLYLZEBh8NJZ1bBJaj094fzI12i7/Uuk2dYGSUjIpkSgKXR7c6T+
N4jUavP+HGeyvwg24KuKbUves0djimJUz7CJ6mXSMGRZhozq9iFewM+YgRnKhJkN9T/xtl2Y9Ccw
awuf7f02oSL/5E46iT/zOippdQjQroA+ZDcNOw4iWS8VaqlNjLGANFTBbKCukQktTDZo/JmaHfRj
dtSiQFfveaHxREMw3YTTRF0fG63xElskr7VlHezHOKq/mnZtQjkwGJkWXrCa3LS9tm38yq8025ee
I+5ErfRkGeGnOFs982SbgLXLmMbBKhhtdbFVXW89YGBr4kfcy1Qq8hHKLGLB9cEbDcZXZjHJCdlA
/dCmeQs+IsoQpCkD76ZI2A+F+DUJYEXtASz+VmCT3nD21TemMosV45H8yIS1O9Z1fGBQOaGz1txN
CSb2vSfGYecWaXAYYE3z3iKpnbGT6hgfavwD+ci6pmk4wsvRpWcKWOFY6LEWMFsbwhwMzz8kleY8
IHj4gh7NOBmaW1x5+/5Gi1HH17nBJLeq9Os4hWjF3T7aB4rhXI7K6WzVxfgphPO66uq+XI+qxdHZ
Tf6mRjQX/Heyfp8QzG3239eFn9/C5/T5z1Xh/KofVaGBaQenDrGCM8/pY+X/oyo0AD845BugPsYE
/lEw/m9VCCeTUo0oA5RSnMuoc387Wz0OZATL6C1ZveAf+lfZSfiR/lAV8sYcW8zfywNRNMOof3e2
ohUy9YS3ce28MK5JDTGBKjHtnyl2LTg7Aex3nspjUgc+N8zMu3ym3wkweI0dO8uCJ2UTRONnV8vL
bRshNMsEh1vuQOQBqBd8oPWmD8ye4+SttjKB79X0U59Am/Rbp3L8U2iNDvhmuXJKw1wWsqvO8K7b
hQ2xcDNI8dL49btO+7sr+gz87QwAdHK2JQooIO77WzlTAsuZFxjEkAP1JGM06+LdTmauYNBSJo4e
TOGUd+UO8SYKWm0nZh5hNJMJXRCFIjMG9JidrxZNFnU7h/4fWDWjhsYkYgKNgrj6BpE6w0w/bGYO
ohTcFwXfflJJtqjI9OC70IlO3JeLilDYlWf250T6RKyEBxYWu6bC49NkBmQoszw6ASdL3nSo+vzo
U24z4XVImNV0+JYOKy0IMeN2whvDcoLRNiabZRU6/lp3tftiqu+8qtoVoe7ubbZHBK3ihHG8L2Yp
X/Mqv5RYiUGOhge6jBu78T8H3UzhwDPaUW9VBXHTrXe2675eGTUBGyKz5LZI8q9RnxycTD0OUVOT
e6O9D4GLprXxNirpnuzMeysyWe6RN6hllDUutgx+LXAp6R2wc5yUoqSPSQB/gstz447RQ6xL4nBT
mvckIz9Kcz0GVlh3CICqmZwAo3GGZQ5WDK2Xatliq5BEvPIhNz2Uvzp2pcF1wBHow+d8Zj8mBkI5
1RGgmE2im8UmsHms9qaoKcR1YtzX1dQygWi+dmH8LQ0ya+Ob4lvhx2wMh7A5ZKhbfUgCmyCT3cYZ
TB/mGAmaMR/XbaujaUGHnLJdFyUbB8vca63nbQOXIEbTzXkQcvd9xNJsxfWLWbBl8fxerkUE7ah1
6ne8pw7vds4Bc+lLiixONmqS3Cc+mujKI6tJ8Yz4A/ilLkcT6BPrbiYIC/qx24Iw8FahO1zNzt8Z
dkY2V3Z1YnevaWrTGqT6AC8/e3zN2mruCtCCSweZTJw6X6SHVjhjHdib7HQRrKIQxj5UKiRPzVeZ
0L/kA3jpPCq8dS3RbuReA2o7yjZ5XJwNo93WWnpfBy0BjcGpSYt0J4x6qYzxxki6ndUyX5I91JVq
GK5pYsDm0JPHsOa2dQrmc3ov91EpT4aXXlRTUDaYZB/WDL3zOOZCdRqin0PhLmkfFHG+6mS06iTS
4jHhiqV+qVnbCf8edMyXtqrJqI6tLRN0D5WsYG0cYnKuMliQUKFZI7U0KUBtIcOjJNfG9FPv+F8m
MuAY3GEamZD1TA2vC9JkwMKWrHAo7f2peisz01ob08yqwuumMzdZhiNASY9f67JrPoQ7t00/I2NV
O84gS2sVd8A+2Dq/46s8WkqdVIi4ZkhYHyVZudJT9Tg55mefSmBZsa5flg1hY3EkPtmu9ygAvC0C
M7s1NOSlYnLfHa/dNhOTxTJz/TXo19sqbLd+Znzuwvqsdxr9c+EeVEUr6Mv0NsEghmpaO4R9cq/s
hg61GQ7OiEY4SJBfDgxk0ffATM36mPpwIHlCD89ThtjCBlq+0qrkPZj8z2URgPMRRswPFxbbIYy+
VYV9DXKyJnW3n1aWZHqZ4Rw49gTE7RqXlXyPEGAqqbmx5621rqGI9YK7wVTr1tB21EhHz0s7Kr/q
gAoOyaKAu0cG2Lg1ewexl5OTO5uOX9NqTgzVn0vmpNvBCNul23coq9J7POCniRJuAatibXXWhhRT
oJnuURXVLqp9SMl8iKBvODgBLH07SvE6ieJsB5zZ5IysHeBbpajemkidm6F8noZgTfQOWqOxXWJe
eAR+Q7SrC1mm99d+DEG+4TQNmo3V8SHAQcfJTTiHAi5ixxnjuFF+Llp1Jr/rLW44KJXpzNGUcsfD
zWh2YodtEh4z1B562QkBudU/JHxuWY5aQH16dlpzdC8P2m1lg/Jw5JRv9TF45u6sYLGEuNXDMcdD
aTpXl+Jxq0G421Z1RcyQuLOzlkn25N0L2TxGcegjIAZBVMPWXySyIKR3wB5huC+m74I/8KoN7++l
isCXZG7+jXwklCIR+7QsNKdLFrM+9RnLcuede7T34EaQ+3lgYxtYP2ah5Wsvbb8BViUqWJbfGImj
V/PqpU+uKAAxn429Ax8hGEOsDB5ZQENjAS5sSThrOMHAkV1CqfOUFRhv8fpjWQ92I6oiZj0vpsai
u9eyuzGfyPjWoifGLa82eHnAienW95nGRwBV2DjeCRuVMYJAeZg01vINgGEOcWCFlEZE907j0tFE
ffUmi1I/fY/1OF+6aX8dUKDBcAlOugnt1muKd1cDkMSc9ZF1v1hrZcrgJHOe49C2F0WgfdXL1r+t
3OzMaV57/tkifzxkTawtkzZ09/pHPnn+Pay8UnoAqVmV3bTWPxLN/5tQfJ9QQEb9+zr6+FZlf66i
xU80VSGZhTp41CC6SzEv036drbK4w8UuqJd15pofBeyP2SpjCM8Vlid0yluK759mqxYTClS6OnsL
h+gUXPb/YkIheWc/uSNnta3jsvybN3M4F+G7/b6IlqIIdHJPmousJZ4TvAq4I0KDkMnS8sAuuc/U
kv2mnEneYpwiYg3T2m2Rd0llRI/KQAZ2Df28LfeWqosUD2fEggHvRCtvCquq+pusLy6FGavP6DaQ
n/M4SwTwU83wL4yezMTmYM4AeRW6z9wjIM3PH1kUMCoxrAku9kfXV5I21e4tX0uxQohGJvVjGuIy
IJYbnT0SEJPiRZH5kg1KHNKUxO67gKw3batKPzLWDf7lrWcG+kpJtCZD1zgr8sCjLUmF5bovfQE6
yRHrfignop2c6gGgRytIAx2daW3W7RisRsObhnXSIkJh+uxrSCSsQkMzV0zOuR1JwloVJB7dKceZ
Vx2yQJSSjfVWEEXa3MVmguHHmePWBsMJjW1JNbUeA+Kcp97yIMlghog4kMNc7hHImvp3I+5/TkXB
M/UPj6jKgvovnlFe9KPTxaVoScvmWRQOqs8/PKMmmzzHZMo4+5d/W384v9Bb0uQyL3Sdj+fwd0NE
nloJGdGWLE/+1RBRzoL33wzM8yPKmgW5Pis16Bk4FX//iArfbLDLS+6nSTOre4ThSYoEZUyJlA21
lhYQVLkCUR6bAHScodzqfXKra+bSQ3WaopYbGrVspO4jhHGdGsxoXrGmlR0+r9aueaCIIzwQD0C5
kSf5FN/mSN8LtuZ4gp6G3miWDFIv8LbKlTXr5ad5KRiU4UsuQ2dhzKp6tkQhLFttOSC497KIoE6D
pq5HjB8K/ytzL+7rXI9QHiYfsv0YIugynbX8HZt4dP0hX9VZ5i0Lz7OljfDLcZ4pS/lYtpIeHi0s
DD/rihcD8mpA0wybJ/UJLcw2lGP9Mk+jXRlpOzUT1IYqe9HNCrAiHitgNOm9CrRX41xk4zm38K1h
jVh6yUQsUeJ/FqV7m+Y6kMFuG023onHu+47ujsWqhUbUO/93V37clRbSj79/EO/y5PmvzCnzq348
icyc+LjzGEqmS3g/mB79OnMCIaY7rimZR/E8zP/047bEFMz/ijH4x6z/t5mT+4uOs1dnyWZ9DJ3+
1W0p3D89i5LnnWceYhmngZyZOT/P8y266MpqjfHqNkF1I9Gjf1Jo+L7miWUcCD6KH1k+yY3bdPq5
Hwsf4BJcKIEQ+0HOrKhQhxqFd13hQMh9YrUa0HiKItMt9UuShB7uVeGfYKJVtyYumEXXsf0C6IL3
T8+LYcf84TAYAIDrJmx2gnv1FbdYto2y3p/RmpAUi3p4SsMwOORliBx+No4aGTmLNd7E5ViND55R
Em9lPo9+Kg8tm9wNZob+mNGqrrkTB55hzycMQL/GZgsbS9G5eA5cTKwj6OTwhOWeSSfO09yQ9BhF
bwX2Aeu2ydJVOU3BO6LCx3AI/DX18FLFxSGiEVgOmHD3Bj4QbNDSuAlE8FWPRzwBZkXrld3aeamv
ld5o28YJJnzVrXlAsyLXwKGPbCvqvWosb6WHobWNk8xad4bh7xzRuQtlB/GhTFH5+3l3O1WM5YuE
yCcYr8QG2/Y6inECG4F3iUx7Vpnw29FaLfykelgyqRLiWteGy5nYF/syrA+tET2VhSQpOWkyhKMO
GShBcQiDcmqQcfMHI1WjQswc62B3xI66aDFqZMYMdrclSsYngaQtnrs8iM40Gm9aTLB2Sa/OwkYH
40WDFkfBHbCZ21TS0cbDsDW65MGI+sY7WWikFpWRXLtS3OSG+6AHtSRpQe0LTafxbGyUMfbaL/g+
ztzxJJ0VnOvaJv4iS4+1Kd5se94JOP0dU6RoUbPIRBFCt5Sm+lUGHp72fMv5f4oGAlV7fRuK1lhP
SSCWju8QzE64WaCu6QRxE+XhxrNSWmh7PNtjsSpi7R6SZbKaBuvo+LAfpxbhvVHhRRAMDlHQQJ1h
oTzelx479cEviDmb3aKMD8f0UsY2Z79BDv0rm7BqiSCgComZGxBYzuQzmar4JD54aO2MRkM1YwJ8
B5cWzOC0/w7j743LPx7Gp+e6fvur1uWnw5iyiBQIah/AKfjlZ0LDr4cxu4H5P6Pp+9gOMHv/sQAA
6+Bas8OQSFhb/zjCfyxXWQDoJG8Bd+AfXXai/6Z1IcDyj4WRLXhjYFWIWdYtoqV/fxh3rTdoFDz9
daTMkOuQSTTAcYk4OBgJSoX3f2wmktfWY9R18QPxLpq+ouNSzb6Y1Ewpd6b4VI9eP60jnqoJqkCR
5fjiM9OxXwfkHUzhi8qf1pz2gGtZhO4GRwTeu6enorkb67quNo2Slr/yAb57q6TIeweelzZ3B6UT
GBP4hLhHbj/lAtOCbINBrFMjqKa1JUXKGASdN+u4WDC7hdW3rbrAsu8TAS1hg0OaIASBXIqBFgsE
dhm7wRzb6L033YHVBUvNdRAgdFxDrNB3IR6Sg+a7yYvyM4fs5F5wLBVjt9YSVrjdvC9gV4LTLEUq
SN1lv3Q2e9VpSs0tikXCdu0S0qM9hu9Or3FaZO47/GqGLCmpzJKQwS3IIMRaXYvQWOb9MQywEbgz
KjdQKbkIDZEG7P6oviRDTkM0MY4+Tp9FpeNJaGdhDflM+g6sP3RpSIfPwp23lVMeHIpKS24sgoQX
QDm9rVtkb7Gc7K2ZEHpVhJ21rfNGrXXo8MC4QdxbdpvcxHpbL0l/QgrVIaksy37NPodRiWu+heie
d5SXfCzm7Kk0sPBp5gF5To72wukZ7JwpaZcwk91tSEKY7H0f3TakM5lGXb3qiePmZyJcIier8QBH
hLtUCyPSI/EJBbmTH+KeK66NML6A3mKN24+3nufb297L03U9gyPwkuKNqSx30bc+kvKp4m265tck
iw2qaEK+qsoisn6eUuZgoBZNgfC+zc1oi1W1vA3AdpDy2Te3UqGsnEZRYn0Yx5jUASPZTLo3rGti
AmYpfbEehGxxQGAw94cs3omEOR4dcLr779j8ODY5lP6hhr1Wz1nw9uducn7VjxqWiQ/OWoOvJl0L
YdxPBms0KYJT0UDH5trsLykvf9SwJnm8tJiujcdQcHvyTz+OTRN4Ip0fOu7v7ut/1U5S+P7h2JxF
L3x9tDGeweR4ZvL8XMOi4B/Zcuk+qlhBPNuUxHDJW88/akOpHzNZzyYXfWyfrCg8KH98dAOwMYWM
Xs3OFiTiMPfcOTSh3bo09YjxB5HeQ4RpaMlcI38Iqg7KLKpBUryycCQDPlIONFLMZs9W4qs3xAc+
jqPMnrnPUNMzpv0Zaj2kdSoqSRKpDQ9PptVtyirynMMoITZ4MRWszyoL0EbBtiNiIESbV71rboCQ
g+BUWG8+rD3D+4Z9BTrOfJBoZuRtko7RZz3yKIdVcEhaZHFTfqxt/TxN/a0wJzyf3s43tROZInsR
hPtBESVuOyB4JqHZoJG7lkWjFSKGc7Z6od1EXRl9Knz32MBHWTqBmyGpq8Upq3NYbRo7jNHhMqo4
LZmktdehqa9aPHAEBDzqoyXWUw6bgk0QlpYElkSByHys3mOzuVOJfockM7WX2GezG60EHWFaLBPL
YhMUTvgVB9FSYsP0yao/d1bCoicP3wlNI7ymkNB1cnfRAujxRjO9AzvYbwqXnliWk7GqqnSblfy4
BS547jzMsZN0VobIwmuHz3GniqhdoF/ZNCQlklqH1JeID3YG0Ak9yBaFAUNDaWdiQRD9sd8d28K6
rxHGyDCmah0Td0Muk+LiTAHfTayUC1kQKN6ywRWax72bGdhT6pHu/KdH8ebPwM7fy0Q/8ujpzWwg
lQ4lgfshxvoJChbpYa/HHth8Qw+LDeMM4zkcZ7vqGJOz+N/5971s5Lj6+x7+lNf/5384AZO3vxqp
8dKfDkGsHsjyqBL/LMzzkOvZ1veI1VnO9+MQtH5xKSrJFGYy5eKh++kQND4m4pSVNnQB8F//KkTs
958UIOPMz3WG3eaMpHX/FDweubJ2+8yLLm26npAa+OHWKr/89Iv5i0/jH/Gx378LkmU0MBhPONL5
9fzuoCVqj+G2HV2aPFLJKnd1PoZeNfLkkmm6jsyaHfZoCPi1nB/tfJIkk3/ssNt90ovwNlGgf+xQ
nXpdJxFkPomEy8IqEUpf6hxTPU6ZtgvPan6eW3HSOc7YV59LjrehMq8M8w96xMGZzidgpJfeRs6n
IkjEcaE4KGF79gtnPjujBlxskrTvaj5XqbA4YkEnctz6vH6YT+ARUIVz6LWJhVeP4KXRCI+MPIMG
r52omuMmQ4htWA++6cmtTGzzyUjhZGjk8G6VHofOOmzLIlnnYxl/yXOBc9sF6LALPHzZe2Fitlt0
pntxxnoE4I+1HA8FjG5ULIXpPkxGSSRmaSTbSpsceysYVUwlnDWaDsLb7LQZfRgKtnYFmaud+frF
qsbaEWtDe/z/7J3ZctRI17WvSB2ah/+wVKq57LINGPtEYYzRPKVmXf33pHm7GwwN0fGf9glBhDGq
IZXaufdaz6ow97hkCKztHv80Ej44BI6bEDNtZocehZx74Xqt8WjNkdMe9bkaKo4Rxm3lCGu6xFrK
uD2avaMnbOcwEHjwwB5t3g8O8z03n9H9dmVv7nE0EVyOqmpcdi4nElI3x9Z7X1UuABDGBQFcCnOt
11PMkA5gRRNFM+ni1nDl9b0TdHzmJ2zW7VNLfMw0Y8SbJ1dfeU2yV4BzBoyYaL2CMrtdBpIciIIN
vErzblENgvxMoT24s4fStAbQPWUmdHY25ia5dwsm1Hx1AzqlZAkEJ/F1y0yI8cmUHGwIZ4EDD3zb
dbnmlx4ukzYeMK4SQb61jWE3mqWzjie9vYmIrqDCLs6kchMm1ZabQiQ3ZmVBdu/TdWjnuyoBDRYZ
6qX1xrtOc4b30TC5XyqV+S+YVXuc7C9V0q+tol1nYaO9U5V+E9kdbLEqCzyl2GQuORTks61au/7c
tt1LmYiXOZ0/0OEFjDscvKnYsIGg0l+25gRw3R3WhkdHzNJPi4jXFCGfVKs/N4WyyUeN+htAQj8/
l3Ajouo5VHttPdq5wSkGAlJmDQ+WnXzKF9sM7BZfDJkkEXTn5UQC8d6I9DPw/vXYZw81X1/bGSRV
uE4QDvYGstWuV5eHKWyDqECc06jNygA5AWSqVPf4lNO1NlPqOM6F93hrwYdaT8kSkUATYh0f1OQc
mzZm2VC/6XI49GPTHRHzsJjhQOTNpKLg4mzgFvPR4yZSKwfCiICK7p7c2jghlrhXaEtllnPX69FN
2dQnZL1M771T0Q83sUf+jV4HZL4lnBYnsLwkkqWw4/1eVK/JYFeZkj1WmfZYZ8UhabNjlbuHtNdu
llFb5/jsmSKfMaT5Td7Mx8VxOItySHKhRjSZs+sJQfQEWSsxPjZ6kAe3WuZ9s5TlAe7J52IOSRHA
o7aeI1Bg1mRk28art2GrKbfLrDSbX++8PzGMaC4zVYpplVQobJFy//+mEohnDaCdnWOibTId0YNH
XPFAPjYo6RxlkDGunQEIREXQYFEvL1rdtDdNk6nv3AXedTVNt71IT+oUrjPPuVenbtvE9hdECBH6
AOJIoe4BSZRc+4U1TU0LbAAJ3MiBfGU2iK8dt9vh1P4Evab3cct90DGxBIPWAUlj4I/oxh8bv532
Wp2RuROWWy0VSDAGCMPVti2cz3Ne3PVOeuihGCxtfmh6/eTU1cmlON5244wxd052+hRbPnRjunY4
fGPyu5FAOui32ltz7jWfdIqDGnvc14w+T2GnYc8S0/s0GUzqur5hLejXZgIdurEp2qckOw/1chW3
6T4bra01onlKSPAOS9B8vQstonCjDS3lwIrqUx4BjHBK/TrJx2PeF9TQ8Gp4lVAm55bYBXGdpfkt
eesE65RDvrZLJUGswWFXiEtitMO6IJKD82/63iTjXNLAnjzVOSYDi2ligbrEOmVZI4EZjFERQJja
Q1rM68KAMeeZu5F9yGirz5XnnNQGi3vkKZ9DzV6oUzEr9mi8s7zQ9kot97LulDj2R13NN6o6w1Qh
EIhoBM1P2zlDgh9dGwsHnFIGWJp16u5gbvQI+QgWZagkzjkn+a/dx+fp/0Uv1U+KhB/OYnjWEdHC
3ALBQgX7pkRIFzEiuS9gV/TJ2kgPQu+/Fqr/eAVKpvrv6eFrUUybDNeUhQ+Lo+Wb6aFhLyUSrii6
ym2yHO3rpE+o8W/FSLq7wNpKoLyXBr+5AfXvfQ8/XlW+729uwL7OOqSHinJW5/IOaxeaLf7CU/Ej
3S3OYUwI/c617u3Q2A89nK5hAsuRl6MEfyQcCcXysVKcEx1/1W+LeJN7o/bJjU1nXajpexvBzDrK
5qOTmw92mE0HLaedzGoqq6BfnDJwa6VZa/UA6r2c530/OcanqoSRTTSbESRJ8pyzVoNGteM1O/C8
7jhP+LQU73ozX4ivyt4TTYFgMTIuHCI+p46346H0rhViY6M7hZNBwLgaKwHHDhpWY1luafmrfgNA
ZS1GVGROMt3qcYnhivNaY0T2Cjv/kUX/pWnxM7d1shcmFPDRfDct6T0W0IPV4eMXGcVaEpKImXZo
keze2mdLesTisC7nUF8buarygMnYZdX7AUUWrsni7MbTthRjMIQLKxiLZxcVfkxvsUoLd1UvKaHk
eXiu4RpFlrPTKnvxOTnfIaKggKuVd33HIMEwiP1cnG6r1NDEtL56sqPmLNRCKpRx2U0djIPDYIE+
GCyDEGmXHVHT3pdzvJtCyDuD6K9qm2ckrLA9fa0XBls9odOExlvmNqrNkzP+D8H8j0v8lSD+qzXO
ieLb1TbShRn0hdWWnspLdKVsmmPzARD/nviBk8ujx3/WxxXRW+fycTz+eq3LTs9PbjCaKmgHdJQ6
8gb8Zqkj7nDLzDWVc722VuVJ9+tNDzLnqNw7G7jU768V/3Q/BGDXhyf+yK/mk7o6JJvwCtFx8ZtX
8/3B5ut9ZwBct3BrcoyScv5vX8ysjiS3aWl8FauX2shXiXovhq+tv3/8uL/fs368xpv+EdZ8Jmdx
HvNwfYkEUQY3v/5Ef/oeHNjetM8Mm07a9++hmOyFaLmGh7dyaTzuB4ua8+sO9Z8WRhKs//n4fn76
TP73j+1L+Vt/ndy9P1hAOG41HWoEopdvpj7qHxhxObtzYsO8ZPOjP0/uzh9MxknswRLMiP51Ov9n
+xKcBLIVxj2I3L52Nv+FYM205fL6+2ZHDoO1xEFJygRedejyyKnQN/ebompzq3dadB16BcdZIEpd
K63ucJWIz7hnOLmqGWCvF8hLjkQwlUXEo7vfEU3wYkpI0+hZ7Iwj9l8nP054gFeLl55LLHhrDcaT
3K9XncQ+ufCfQE7jhE88LzCT+lnriSPq3P6q6yN/0IYHG4qUBk3KklipJIofbS9fKxwePvAoVwng
zo5RMYa+E5L+wcuuNj2kqkoiqyJNf4D7R6aIxFmB1WHeoNjmhrH/FyIgXlDGAZKRGCwXzbvPKeuu
yuIbMGFP0Ck+KDNaeU9CtCqLE10GV8uSgK0ekA2gAfjgrVN9cqFwxdC4GDtD0hp5i0h8s6CttQuh
y+s0Jz4FllcqoV6pIAClTXRgB+lFLY1phdKfRDIJA8upLra2WQ+roR2foVLhwdP6ZJXFLiOI2ELW
o6bvBghjSHqAQqlYoVsii09j4d218MiKQrtpy1Fs0hzGnwKzLIZdFnfTsa7A+zlj3K5M+GaRRo50
VIE8Q35TrareglKUtC5jZXV5DxCz3HmV1QPVdVLCPkGoIW1MN8BxPzMemw/REOMaKCFAtBK+Zoyu
EqAZP9kNXDYTNfhMHPLNLKFtBFp7mzniaerlhbeKJNytlJi3ylbIwyZaNXEoYpvHGYXfto0MOQ2M
OZxGDtghuHGOBMiZUN1AyYUow5slcCRmjrr4ufNiuHYSQYf9sAhyiaWb4NPlcOrsSNRndBFQjCIg
dvgmN2kC1k6Fb5eEWhcMEnmnw77j4BevHX2Y1qkE47k9MjBVwvIEg3Q/6pfnXqjGqm57ynMJ10sl
Zq+XwL0kBb23zO6Z1CBv7U72i6iBHNP0vyrHrvSNjqXMmW5aR0MCCi6iL6Up9h1668dBIv8SzlCI
Rpx817VT7rfRSIAOiMCQU58joYFjgaKMVFxMSxIp2MAWRIoyQXzMzR1RLA9eqn/itLN1JJBQn9qz
Uiig7BS3WZlQCxfohTDGSQUZnQaOeOvZN0hYOvMgM6cl9NDixDqJmWj4EXZjfD9F3PM6Wg6aJz19
dGfazEZnXJyxeEA60ELNShiptl1PuTF/mDhvczIidmVKSMUeAXpVFQk2WVaBnunH7ZijfUtgdYQC
7xOqf/sokG6T2AffGtDTu6UKr4Vdn/rJa9d9VX5JuuZONwg2190j0pybpUuPC5pwnYNzrMRnNSWx
tiJFcGXmtIMKYd6qlT2sNf7fTTNpR9eg68NhcF85kR7Qe3sYvWjXjuaRAekXG/EQiXdyazKDCs/B
oVLmJ10WeY2G7KOZOiAZ82AfkqXbuFM0AaNNna67L8n5qzZTXGN6A+hX3Rlj337gKDvSmdBBT9lq
O4idAbzjMcoq69C1dR5dAKVH7r5rFPMxRF0RnlMSc7aFl5Ei5YX3Gp2JwJp0lkYY5UEooTRmBRhr
lKCakXUXWBJewyp86M1+t8BJWNEm3MUSdONI5M2YRJhcoOC4y3I9lQBVlmJZMNEUl9yOKLMlPKeo
CUsUGQiSHrJOJJwbYROJzKxpMyMr3uUz3hYHHg89HvoJw4dGgnq4i7cu5J7F6yE3wPLxzOTYZ7Pl
17X6pE3s41UJtxYlozZq4Enw4u2aXElYa5ISpOr+DCIGHgAIoZJpebYvJa2tNconpxoYjumQ3ByQ
bkmWftJBvFXp9GkC+VY2zLUWIHChCQ2OfhzWIgBxhEKW9A2LbOcijymXLaetrTK415Fkyw1A5mxg
c0vRcaCGPueAodMo2FaaJNPlklHnFCP8fKh1seTXCUmyKyXTDiYo6UKYSzrJu5sB3xmDqvnFyNxX
B4qXpGSM5cI5SZNEJbl5GLbpNpMv3MT6lSnZelYEUVIIaHtg97DrXSowfAoANL9S7fvUHZ5TSeob
p/w4SnYfZ7JjWC/3FlA/AGHXs6T86eD+asn969N6k3gq4EEXuilkQPCBEd6GSlv1YANLfMY+6H/4
3/ka4fmd42UGybTmC/mAYjNK8qDhdsdUsggJiLb5h9MGWsPB7OAV9klM1jAIQ8922J9Jps4GiK9K
cpeHxVMD8FBnKp5182mAhZgZfNWqy3BfYhIdeImFFr2knrez4ChWCj8NISt2A4w1SIuFHm9fy6j/
6kl5sv9VPSmSump/UlHK3/umojRUkuDlBBv1psoJ6S8dkfqHgUkYboEUGDkcBf4uKNE7a1DFXTzI
r/Oev+bhDgojMJ5MbnAeO7IM/RcFJdCzHwtKD1ANFa/BXAr99/cFZSqUTHcWPb4uVOKSzzHyusdJ
U3HQWKIsowvaSOuw9I39aMfmyIFHKdFCQukkTWtx2g9ebFZ3npdYCxTVfgS0VzrdfWv0GnszBV5g
x3hMzUT5MOlgradoMf1c1zNfn+yLi4G+Jz2gH+x3UT4/jdHyRL6DuaJ5YLduASZV3ep5kVzrMzWR
ltnBNIRrGJgHTu4gY3AM+TS7Wz9S56esEbQaRviYNIIljhDF30xLE/mmK0GCk4TJuiur9/ZmJMRq
YOBbF/atOVi3BTF068yg8xhOV4srorU3aE9N2dzVhv4YuymY8VCMm7JkQIywCQh74hU+cxK6j6Z1
m9rOaXDbj9geN5ld5qdCVMc+zngUh0grzdYBUCEiUqPG2vXrJbsdmvp9Yy712RBDtYJlrWF8pn4Q
BeEeozmgZc0JYO8MhiVTGeWnEknN4tQfMWAMfqsRGtir4mVpxUwG95QHbtvvcrL7VA/rJ0+w2nFS
HhKeb5oMujmgbNgegLakfAY4PkY/Glxrl5T8zRymflV61YcS1y1b1Y1rxmu3zp+1LH5nV0C/uy41
T3DE96SX3yQ1xfdgObEfFlWIS9s+RVJSjg74Nrbtd6YAXkOf5bNdlceFMVI9u7TxVfDXZekAIh6q
FLD3dCwTDVbcSLRqVW7zRKE7b/bg47RhRZz5h9Ru6ZraY7LhaRbYNYkOFuN4ZcR9HavuhvS+4aqX
hbIzt263Eua+y+ziA+OeaS2y/mYZCBW3jPiqXIj7bRQg1+ncvxdz+ikcRvojscCrbqobR7j3AMs+
OiEyDqE95QUz/Em+DHW4VWbQEOFynWfw3hN944UXFmsFq6g/5V52WWb7MbGpzUqwwhsxEY5iUkIg
DZmPRGvQDrHSU6VXa1eyz2LFvVccTimdNSa+lk6hrwhCFMfsyqqLa7DsR7iEl6GlTsTdR1PXMTeK
0TyaigIWXX9fdGge7Mo51IN9jZjFQB/XHxWPlv7Q8PgN23du6nyCg30Gf/Kih8W7tnP2GjTkdCAm
UIX17Hc57kCr4ntAHfU510ZusQVpmDvlRJGX9jVvHrTfGH9sBKnEmlpc66F2oY21QdX6SVFC3yXT
c4XsASSTUVw6UME89uKjU3TlfWzTushn4nsVtcyPSt7XWIAh6IWQFXynKJ7QmmVBN+c3Wht+xAY+
+0gu0Q7S1vbc5ZSX3bnX8A325sNoF0+docHZ5aKjfpPWyToPIa4CDiVueGuSB2jUoKKSMD/3dIJX
pemWG3QPa1OXoBYNe78VHzxJ4Uskj699RfNNA5S+eSnBPktynycZfhowv15S/aJXwB/pRu2mydVu
y3GADr0kAdaSCTgBB6RPo13F3Fg+37l1XUqGoCVpgtSx0/0iCYNCsgZTSR3s+AiCUZIINckkhOTl
GKvoFVU4SGph9wowpGMKC76Gaqik8A3/e0x/Va3RJfnFY/ql/Fw9Jz8zX+j84p/PaV1HfgHE2dVN
cHCvPZy/ntOmbAph4sEfrpooMP56UAP8UFUdk5KHJhY34vdhbTy+DZVMd3pJ/+YhjYbnu4c0jUzV
MnSHzg9eK88hhuT7h7STdxAM9Ei51sAM9h27pmouL+HI9D2zkDL1hrph0roRM355qNu1uPVEodzo
zqDghHeq0rmNOD26EHlnY923mrjnsOjMz5bCvgndoFjp+mxu04bMHbwAyzZqR/5meuYWEoLUmo2A
0UlhC4Za8TZC0z+WdaY+R01e+I0+1ZsqdnJmxCRzDXAQaCHxbw18lKs+08VjzdwcCwL+7CUerMNY
Ooc0FWATEPlaMcemtle2vU5+x6SrqwHYmiSAIKnVB8bt83mOKiAgjhWwQQxXbonlu5Auc091DSDV
M/arEkCkyOjRV0zOjdnLApcH9UoPRR0sDD2Re7WXtC3ZL+cuf+DhN99p2n1iEgACgfMqaaJ4DS32
BmMHGUa6RiQ6pQuhrtckAD23CYxrl6Oo2ZHr4A7WGDjuxGwRZNyhBJ3GgyaZoGC2atBajSEVJJQi
7qRiPK9RMfC1KNdmg5LaijwkJ5Xhd7CaG7O1KO8rYCRs29uyNbObaVCvqzqOd15GgROy0cyE7C3J
hkdAGVa+QeoY9OWx2okwRqanO6UXTJPprulYkMyRxvjJVrjOwjsIm/V2ILxEDVjY5b4UAx6NtkoO
oa2458SEhrXC8XLOsFHjptakrVrr44dcGq1jHNeRYPI4ArcjF8V7yLQuIoir/kKZUfj42U95GBf4
YObrXJq5Y1zd8WKtGfl013NBf6OQ1m9TuNhoSngsymDvxYBBXJdW8SGd72JpHtdxkpvSTu4JjtuT
1ZOFNUvHbNLjxbNWnd4DCxDDqJvnwaqVw0xUsVahjr5YVssxVtAmUNvVZBm+3kKSqtO8O2Ffo+fH
QrtGImxvRGMBbzHZxJUKi4aQYF136beQyh7zAVGPOhHIpRC9M04SDjFE2sYyQ5egm2KjFN5nXWlP
dlrcVH3/PlSMc1s7zCx1pb4iGWbe69L6CpJip1ik7BVQRd+pRNQFrvvSKdMxyRnums5pjvEaOWm8
baY5sDnK856v3bk8WUXxuAzKkSzVUxFzEEx6KzyXLr2dwq6NTR9Hd1CAI1w6+V7AuskaviQ3phaQ
AdYKXJwVDaKniBzDVWcn19NQAT4veRgr3VBA+wPSb+d7r7MCV4inQqDJRPngQ0WxnYStpdhQ1W/q
rPHVoa2Qd6i3dTuuY9KtHOhpRACRmCIpHh0zPs7K712MUhRt7+1BdVmkXmXTmka2GrrLl7qBoLH0
e6d310ZRBHY3GXDKJmI9Mh9XwlNsG3CEhqCNEIyklntps/LWrfTPXsY9XOTGS+fNt6YCJB3953lu
CODLTL/mO2Y4DVeciT5TeH8gmQAhQvGMMPzdKNejlqV70ceXpYJ2AjfCSaM91JadU1Q+GymFhaXe
kJYBJHz2dfQaZdivFZcCZFG2FIs7LHp+Uac7u502iiV1DnrybLsy/KjeAZXxs9gJ5rq6LmvVDUq1
2gKuY6rcRxcdXEkyRLsJr1NRKSf6wps5Tzi360Q/T37DLYLlxA+FtiZK3g+7/EXkL1XY3wJ8Z0Wq
RI+QUzASqENnsF2gqZlcoxO+GcJCN927trNBX1g0NaZbc/Le5SnqVhDwLXp7dVuYwvdCjxUYAhBx
1I3rFV9mZkrscBsa535L/IntTnR923hvaPgqFvFR1TpKLPfOtuuPbtzeRgTm9cXncq5fGlVFsTVp
K8dINhA0N21IhkZkBoRP+ZER3xjAMavBuKXY/KIpZAAJdQVRhqRAdad4w85tlY0a53cpjPTOIric
V+qEwPZsqw5CBRCb2m+4Fa9az91oRnswwpkLNgExSjjyynZdNWEJ4k9/JpTqI/8VkwJ8UXNr4vpK
Y+ib8eiDDHxqy9YvXeUIlnMPggK5nQOnWWSbGCQmSXhhAwJ/JrfIdrZ6N9wXffnYNTjWamfPkAen
hUl4Rid2pUvo+VRwNLM89CkD+dXqfSXAPSkaja+JarPns/OCqOzAkVisTgc373CDef9YoykZlP4u
T5ydO4XXobHsS7M4DKF2jivmwWWfbIqcRJJQ9pDGVT26N6nwToY2PdQ2WiHB4Fj33PehsG9aeDpl
a932U6SuQPfd9cSFDzWdW7FwbrPyU24h7WbYvBoZaQi5US3VxznrjrqwiCuREKiR8zlS5lEWPSWd
rfK9qOeDpldHRYfPT2JDSOBjQgQ7Tgp/0buDYDawjCNUnYwHT/qZBvH7tCtoPiGMWXlO92Aiu9Mx
FJOPTjSN9tkuiPrumo+ZiPeqrl2z3+JYEdlWG9ujtcihOhEc/qJqD7HV1hvPyN4VooOoOGXbzNAu
OBVTTrO1RCUbG8SruxBU2agrRZAsFah9GpLRSBjHrK+zHB1OXF7oc2/TcALTNX+uFTSGZCR0ICKl
65o7ACNkOjhB30eBiJXSpxtP56z3i5yHxAQMbFDcz8NgbWASQnByNok6BWVF5HnR0hiNpmUzFeVx
7qKj6Kx3jJt41gDRKVvOZ0lGsOuoHIjfZK3T6oPwLbRqnyvdeaFF0or6GeEQkqkWhnQ+IVinp1qo
PP6+KWl/IqV5MzZ+rRBp7hAcbMgp/NvRdzcKIfqkVK7VgtlHtqqyW4Ue4q8vIvU4fw8fv5ahDPo1
TTVMSttX1v03w0fGdqrN5FS5ntxPgvlB/zBVXyIspBigfn2lnxW8317pjTKoCqtZW0KupLtXMOZW
tYNnYNlX9oe0f0wq2//15X766XE3oVTmMMjI7Pv6Wmcc4oZ5FV0G5bHrjw2hwvnzry/xs3dEtUyx
zGUM8+3gNrSdSfVAk18G04ee189zkJMTUUTbBLam3l39+nI/eUem5nFogaxCV89+c2KQIzR9Vrvk
Ah9ilRg4qkCMZL95T2+0EHLRfXeRNzqnNlQ6yw65SEo3rROn1IvX/39vQ77Nb1bc0C20QEiHuDAy
tFHEZdW7kPHjry/yRiT2w9t48+3X2ZzVQ9Eml0kxVigKvYRY05YN7oFgWhuUWd/+5oo/+3YYXUOP
tKBEYjH9/m1liVskJSzEi9Pc4IsGmbd3wi+/flc/uwZGVBtgAOsAVOD31wgtQ7HdQaSXso0JmVg7
ZeWP+ftfX+RnHx0UdOIYDM1wdO/NRSqi4JwkmVK+n4fSPsWcFFM2A4+02v5oMkscw5tfX1GuqTd7
EFvc31d882WhnUNrq82M6CdUWO29QQH16yto339y0pxraY40qtEQt7lf32w+bWXiEp204pKexL7b
8/A8V74VWDfxreWXQbIBgrf59TW/v+Trzvrdu3pzScQXxYTxMb0MNuI6eo86SBy92v36Kj//7Gj0
qzw5Ldt6823ZC+SJDgXhJWw8X2ca63a/+ezkp//220E6w2rzPCRMbxd2DYoFgQoRCA5H39nVqTYf
ExMGWJr+5r387BP79kpvNjhOxJWgpZleNOsldm+s8K5ZfrO9/fwSkC40D7MO3u3v76BEywbXJMP8
UpbXFqq2iWRgvbd/86j72S3EYvvrKm+++kwMcTdHXCXJnnMizwwlEObGyno/6y4Kwe3Wb76jH94W
hnEYHqbKEAnKlvlm4gOf2KkLp8ov3bBtxONoB81y+y8X2ptL0Gb7dtsuh4gPNG7yCyGU2N6AR6XW
bz62H9by6yWk3Ao/k0ef7ftLpNNUKDknrUubPyvLniHBby7ww1LmAkzf4IxZNN7QFH5/AbZOZ9TK
pbhQ5xU9mql0n2CDAaL6+ln9NzyVX8k/d2UvKOKf2h/FePK3/mrJ0l2lswp9SsY3oej8ZnSq/YFe
HAADWxluYwla/t/sVDKY+REYBoc666sD+U8xngdfh6/Ss3QOzGy4/6oty0pjCfy92yHGY/6Kro9X
wWyXceybNYhmviw5qGrXVk780Y6cGvwvbpOd0zD3Tcl4i5d7fKorHaDodiT/D99IuyrAQVpVtPVC
KKZJNr3nOIHaohI39lBtPeCdPWMou5gIoG3XS78jOfehiqJDGG1oCl1rqYduDVWYT/AmKDptQecP
7QRPxvI5lzC1uYfzQt/qATYDg0FDQfk9dg9LVexG3YjWhjVckrEzggZLAj9Xj8tAbqtuGGcT0SEY
ifxDqfQzPVb1Janh4i76ZxdVNBl1GSxjfbor3Gkk4onpzKzci8XET0s+WwoujG6Md1Xa83xUSB/B
by07UIxGphA3sEXmKl6hLzhiTf5h+ywGbc0hVF8j7wBxFZr6uoixKy2V8axmH635ErcYGsDzJxbj
Z1vWmKHTCeBa42z6VsYZHaM10u11bczjXrRG5z1pCcI0INMEacXlQOqdpAHwzGiCPCVBspOsAGzY
4wqbOPwAHRmfKpkChj4IIDCSNDBL5gAjK+gDSy5uhgoiQV9T0tQOlAJdQqZbSS6IJcOgkDSDorE/
Vgt8A5xSY2BK5kElWded5CBMkogQSjaCLSkJrE2TZhHkhBSEQixZCgC5CvyGZnIOJWlh9PoW5M7g
bCfJYShRVLXrRtIZlNgIt1rWf9EluYFU6d5vJM1BA+swoORfMd3AbiOZDxrYeRJd4UBAl3rxJBmi
RxoTlJIWIcBG5JIfQfhJfnGNKAu0V7qEMieBx/R8a0r2RDa01taNm5dCciksaaFsJKsCImp04JNb
VqkkWbjg0DDUQLcIVZ74rSRelJJ9YbxiMBADZiwn2Bj1zJGkYpC6aiV+o3MVcRwlTSMa4Wp4Maci
WmrGtu7sPODLA1TaWl/om5p0hGPaS6axxZENrkOV5I7Uq8kARZv7CY4vlKawoDEpWR9RAfWjqc0h
gOEICiSVVJAUMOsn7rnoIFIdedaSlV0Q03lSiUeAKuINlki/5EU171xN028qrWmQKGKK7Ih/FUej
Jl0cmnWuaBGiTwDXpURdVzCvGbVHvrqEEhA1VkEbT74FIVuJmvtcIrNDCc+OCyCKgwRqpyp8FQfG
tgZrO5XQ7dmjaa9LEPfcu7S/6w7nQn9DbgyiBfxcPmOcZu/19gtRnI9gBDaj5HtPgL5HSfy2QH+T
gnbIzfyjxLdsjRY6eF4IuYl4Zz6KfQ9AvOI+VaQfvSvcd7gILw2o8RqREnHj1RWFw7MOjHzIlQnd
3nTpFuHuaRbvKsDlLUhbzGCwd7sCsgZwcxr4CX6NBFqwvqRgxScT5XAJf7j1hRvfRiqtGEfy0vsc
crqlLqQnppIyo+8S4OoZkHUX2LoyGc16lvz1SZLYCR9jaJtAZzdLL/mUumX5aGdduouMIcH32Bur
CezJweZ8tTJByq9Mq/jktdhrCrUvA9toLtWo3NltO25Twm8OUdlzK1eI6bN5dHlJSkernz5qPbEn
hdUY3RQAS1dwNJWbV2DKooYhMgIu2kkAaIoOeqtiXLnNI1GvXbjP6FQE4O3UZqxhTd62NrU5WNLY
lX3gnB3GmbdTP6dB2CYG7M3CDLwlJXVaWF9AMizrzFz2c5deq2VzLIz0RJlZBMao6kh3jTww1Drc
kK5B7hJQoW0ehnSMiVLb6fZkSZPJKonzBYNJom91Q2pAUl5tXHDX6iPzu7xk+gesQs6U2aVUCfoc
S96pJQZrFw9ThJBNs7cKiOJVWoC3bsgN8YlTMSEej/9zY/1X6uicPv651DnjwOPo8fI2xZJf+rPS
eYVNuXSgZEIkc2Z+9NfwmUrHcuAI6PhB5Iz570pHg1BFyhgsXM5bspr5UyRmSgwVZRPpOwxAX8uj
fyESM2W5/n2dYyJPsz02PP6vr1b/b7owTdWgSozT+NL0DGl2zSvSyXKuNZ5GKFqiV94TFMsR+FNf
g+RBRy+pUDOOKbFxX2lR4ys5iiCbHc8AI3zCa5uqASGquXLkTYPg1JgDQsDFyRRdzKxM2McbM64H
X+v1iePXYi3sgTmsZ56BCM0NPAgzXHp622wbM/CN3uFZJAAK7li7lO15aikrY8LDvmsi4aUs7BZL
WTPm4jrieUpXjJLBCSIXlfIqc2006F2vvFiJ123/q/JftRcmRfk/L/277qkkFeepb39c//I3/1z/
wKDRRzqs/lcWtPS4fbv++RFJrkS8ynPyX+vfAG8pvTDAfKjDJaD2rxvAQCXJ+scEaxDN969Vksb3
h3Rpu8FLzUvAQmq6HJ3fHAYVVzEyQeDqdU/WwHJO9RqwhWaqkq3cFdRCoMU7RgoWGq7mAn+ctG/i
NIVevBu0HO6hVpwaXTwgGzvkbXmbkMTZyUhOIw3PwJLOKI4zn9CnLc+3iBTljF7aeE/C0ouXMKCv
Bp1kc1TLNxbpn6imUwaVEB7DmJRuE2RNTnQQS3cFMgIDpjGU2icdytmEFyenTBhcdF8A1ZKDntld
RLiEwqRCHUjkWxW1wSMJkQGOPHuo9w7PqW3jeAc7J+zlnRF2DoV5MaYwdbwoNk8iTdqHdAzLdT8Y
hU4uLMGtftenR4fyEYyHZ7WII4SlrL3WFekuI6sDIJyI1CYo6IjiChmnT70tK7W8vHdqq/e7eNy6
aKO3aOGf6rAK187YTDepm48bOJwkMKkNg32w9XWc0LHAgh6THFCFw3tdDT8oYtl3/8feeSxHjmRd
+lXGZo82aLGYDYDQilptYGQKaMChxdPPh6ypv5isatLaZtvrNCYiAoD79XvP+Y4l3fRW7hX9sNPJ
Le+l9jgOxsWByOTawvTqTL2ZmvgVXj6GbUsiwqU7dVZRIF8XACuQmGIQuek7aQdjZ1UE1dkOxU9V
Q7YpDVslbvdo0bZhUB1J+Dvn6njuyvpNnpobsMRbNTHvU+D6EQ7TAIuWGfWNW2XiNhMzCxaiNSFv
BqO5qVvm4eOwS0z9MbdMlz7Nq2M3+ywZCFXINXWVOD8LpVzpmXnGybAaqPN1MaN3aE5B3FyhLnwm
adtfBusCOn5hRWcOd2gICAI3CAxo9G0zqo/zUJ5Ih3dJ2jhzLz2RDGsK7HMSlOdGcw6zZqxR7OwT
g8BuU37B1rsGEHgSWvsWlozillsfWg6KTrhHubKxzfGo9ARed4587tTIn6rkXJvqdTUBNp2leyPS
dhnnU3LGUMql+a5RyG1k4OkE1Q9Hb7y+yB4Z2N6TjHXTRtI6EMZR0+212uVnOekzDrHKcdDHt54P
gWIEVW6hHIOevBJLIUWnPYYW6rh4PAxjtCsbYnnsqf5RW+pN74w39YRVPwh749oy6k1sDtHZDPTT
ZKj5pcaktcvTrIK9p5aaIkChIsYZqwtjreOg8Eh1y5GobySAAAOoz8b5PoXjmSOmr+fa0YrD67GC
nT5yEu6zzPK1qnoh9pXHTzMxRQWbsWLYL2nBy1xnp8EZozXpZ3cpqRWapBGuo7cNhKo5RqDAdFLL
kcZIUT16opeKlRopJywVNzp+HA/fFLiCkTveJ85VIqRNg3WMHnG5hagueVKDvBdPzalNug3HP89w
SmbueFJ4OrhbKqRajpBXFY4lr9ChumjQRqOpOSx6aj1Ij1olbUjBYDhQnYWK7X+o8m9Cz7kZs+Sr
A7qPJGBoHrfmtZHZu7JNNLDxSKGLJXw5mMfWk5IO/wTEMjVCJprE4khoZ8eAVfJytXxqmVe6k4pE
Q8rnc6dopzGNv1OcI1ax1S1TaE7GMXYjgptuzEJ9aJGOSEa4taUuW2doujw5Hk4GsjW311kBaPoJ
zxEFRLIq6FyEWdU66aZjWSn0P7T4Ai/hvjc704ui8S40DZ53MF0FxX5vp5cg46eJKgL3wGPfO+Q3
M+2JHA4P0nCk5ZAdIgMYyX/3/j90l9Si/37vP5X/KLnkb/7c9WEF0ryjIWeo6Fx+lbZ/7voUxMSb
MYuBdWXKbPvvd31rAQxSEdCX1ehlv9/1kW4CdKCIINhd/s8wWZpD1f173UuKLxMgbDkWPhssHL+3
gJuZjlFndOaZ9J/5SHKhLBDY0ArRfWkklG+JPOlwTEmQ/zLfbgOrRDOY8wqC8vulkZKzExFlMm8y
idqmFS4oOUlH8dKR3r0K4RChNJwHg5Cjgfc4fBw6TIKk/4Q6HtkU8JTYNSy+wqUxYY7XXWJhnIqk
MlyzvkleNxaPqowSCmnqtl3cDU3Tt27VAwNhEckZ+0rNOujku6RQT3VBRwVSPLhW+aaYOGYrCsf1
kgggUeaHogqOyjA+TJxxgV6h7Bcip+e1Qw2PQCYUqhubSeylFtmS2WjhxbPpuHTBDOBknNnKnCtF
7jscoBoJT03qipFFjgGb8Ifc3tcINNQl1Tvu+qcWoZ6rhBkhv7KBTGq6aspiWg9mD9sEft/CmW49
zZpHP6URBN27IKXRoJlAobYCbjT5IHqwM9v9d0kfD/ja8E0hufTyQPk+jqL0Ojh+YL+2sYHkiZjd
Y2KrkAbr+qEz8I8m1XBsOuYsfUxUNy//rYQToLI6dR2kASsN5uqA+M0d48DQHfXynKjlDYRVjwHK
IYYgEQH1dnt0+opFUiONJX0Cwl1Hvd9qiFizFNq/Lnmk8+71IF/Vgt4ceCti6dsRPGJWpmsbvCP7
RXvKJbwDabaAdwBRKWH42OE1YeDt4C2btNiXzPCKowxwFqf1lKrdL2UXvr/6MSyX8J3UOEyTctuG
44pszJ6tg/yOIrkJi/4YG5qfWgS0meYc42OcMlfoUrCt0yDy5NG5Ik7dWtmV9qPMlGar4Hqim1Se
DYXM4kjD2aCl9/RuH3I6N6WoLlIk0F05ND31jHOVnSU4m/OHwbL9pT/YydqzLKgALJTv/ZDdjqmx
w6MJl3IR50U2U/apSXDoymp0ACqk+Jozg/AdhseCszDN4PZxDIYHRW/u9IaYaJDBmyJyLkljsOfQ
HDNarIhIwnBVD15npcKvUgXKHE4/re1ug2RGBJMoHQKwcBc2erit2uqmM+dnpIUvRIHG8H4mMpZJ
BVolva54utzd9zHCO4UerF+a0V6Syr1sOa8FhiBXDivVU0vlloH+Oq71O9HIG0krrwZ2KDYx7Zbw
R9u3IxnD7iidqZRPsSUkj/CX9RhnCI2tYlMo02sezuM2ncJt19c63Vzb8QoJs4KWZ+W6bYvnBEYl
vw/0tmyc7YMjTxjAFdRJ8lwvGbLrfMCFGaiZvoIlSDtJGsiXnS6KoiMkjPB91uzolnWPaC7a1zmd
JFMZf6Sxc5PodEZNssNRYtHxb+bp59Dj1qFbTMJWqOoezU4MSs0C37IA0gRZdwtjhkcHnqDLuQFX
uognRIyl4elltE3D8dWM2mLVmkWxGk0HC0Z14nxB8Nao+eVIL6leTL0G7l7YFj9r3L5hGW+nuXwu
ftmA8QNbizFY4BCWF6uwPUrwAjqsWaOq70L4yy5HIQxganJS8BoTnLqhbXaAb4hqjqDwLNlFbXUb
RNXPdjErY7U/TriXTUncicXOrE3YN+TF4uywLrI2Ip6jQb6yFiN0giO6WKzR1mKSzhjYGIttelgM
1HE/PDiLpboraWj3i826iNPncTFejziw08WKDdC4ZMag4o7Hp60OP4bFtm0tBu5i0g+RmT+PE7+o
4iAJHFoVdFr5UEPV8WjRPqiElEUh/uYpxe1JTb6Tm/Ib+FqKSJl8bR4GHDl3ouaGQXvRfCNrydUJ
i2pd5dZVD4Ah1AIFI+8gQTHsz8hrb/iqqPGjy5zrTJP1BXzTS6o7AyWw2NyJKZR3xBij+SWBbKcP
xq0qgqfIgpZVZ/GPnOrPDfQB8xIz3G2T9vdaAdkKGdOM7vdXUPJ/q6RfVdIis/j3VdIzmTJ/740s
f/NnlbSkgsgcAZFaKbaj/9YbJBWElhxlEnJkdF6/9UYcwmuRefxyizKp/KtKsv+FWEcmTMR2KJUM
6z8C0ZP28LFKQtNmQj4xaUGyODh8iPfD/haYVgG0c7yIFrmxsFvfCuq7VmVAkKhT688MOO5i2iAX
tc3z2wYE5RaOSbftUPjR3ENjiUGeokXXzuSfyCCQ89GbrOSHNpu91yKkOkRV/+Z0g7grp7JZpVU2
XkH1AguSF5bnQHxgl+ghNZEH1BaO38dRecnDijHDgAtLCVl5O3qrJCnTQW9ANuWzkm2zTOuYHzFq
MpDyTvZdyERjPeqJ6tMIiS9ZPOYeHOsXSTaHrTPYD8Wsxrg2OVZH6lSsW7z3Hkv3SAZrBghOsYP1
KLfOtipLYhkHFRV+jh1zEBb+9FADVFrMSNZDMlMaSgU4a6TudvmxIy82daTnwVAAWZadB+Uj8YxI
7OVOX6VWiHsj7PdpLR360n7g1zyVlG0wEkvGTWbHCDSNXoxef2UBpl00lI8hmNHaKDIUzSGvchjf
tjpaWC2TTFcrFAtuc7hN577aSmb+QwvxkYyFuTdrDoLtTAyvAwhl3XIYW0fBwCzPmNmYMkK4TXFb
SsFZz6Y3ewYiuoyxdaF9D6bmSmooNyD5s8S2zNSqwT5rM0r0OZjPRsktbcXo0yy4SnPtjcYKLYr0
mxQIkk0jhkHZeDHR70PRQ9mvhPg5pEHdGejocAIyDGeGfjEW2ZKa60jzzWM55vaqtDSWbCV6FuF8
rev6IamYRUrjjELsF7qPdA3PZDBvXzQ8PdobiXTGtLNahrMQTA9SABfNqxVcv5lBBiTDlh8SAeJx
Z+vIV6Y1OAesi05iEO6Z7fuEHcQymKDBJD3Sl4fd1lOLBWTJ+aEBDGAyMB9VdD4aaVZvasPAomDX
haeH6bdKJQ9kiuJpFecT5QmIblkG9kpfkR85boKdNDUVmDJsGQMvuCfzpGqhuMkKICl9rO9GG+E8
vRX5roiChlVaB2i2OIeNZCCx0sx9NRi8WZc5W0zBj2li0iahZk8N465uA8J9CzKtUs2DaXTGfZTt
Bt0wcSazk1mZucMGoV+sdiIx2a5bELOxuR5r/bZP4WUGrXGk4OEQXkyOJ8PdqbMu3itTeYB8AmWm
jLlLLQhz7alRgos0hOAO2CgJet+0VY1i2snrDcxBBgeAQe0qe4syY22Xgled10QICxswRhgRNXsO
GWKXSpSV2RJTA7VT84MluoaqLdxj8+T4YQfnvqIsAZa+UpmhMvWijaRxtgd7MF5PCjvZVAkicjCD
Yw0nNkeuWkonhH6bKQwI1VnidURVHMIlcGdaoneaJYSnShRpoy/BPGUlrk0JcsNMZo8kh09CyrUr
NYmxwyzBPhJJ8V5E1o+Exj5cwn9MUoAqXCc/G3KBoPd0+rVFVtCMuYxAi18JQv/dP/+YMHyqI7p9
LdrX/+W+1m+v/8T2WjQ5f26k9BQ4xAPeXvRB0LM4zv/ZbmD+wIhBduge0FYgpeCvdoPxLwWIKloj
0/nYbtD+RbvBRIuwbEu0L/6jeK3fBW2MGFAlLS5TNEVszKR8/b6NapEiDS2GuXOEB6w5j+Pzu7Li
6o9x3f9ir7iCL9w2/+d/679QDr+N8RiE6IDD4JCh1DWsD6q8LiB1OjDG7tzNxkpVxc9J6OeMAHOj
bn+2nMFqhmd+rjOIV6Rix8u4ratk1VmCwYBkYpgbtE1hsXs39BO6aK034rsEjxu16rEz6GI2bTq4
c5RdlF4xaDD2baVdQtyGywEJJzs/Ipsa0cJrjTMrmAPZ2I1RE/wcDPmkaWRaMjOMLV/X4+w7rOsA
16OSrXQEOvj7CH1NMom3KdW/dREI5Faho6KnUXVQUFyAFLMvlrCkVWbXT05N9A1K1YiTrj5cJeOg
4Oks27VSg6GY6uLQ1/FLqqpHQ8U65eTTkTFJtc2Kcsv6OPt1UN0FRrbRyAq2Izoa81xQCBAJQJTN
zzyVLpw0sMiC81l3OC9D0d5aSY7hXey0ynlJZWlbiG7fChn1cDddjylU4Xks3HCufTQx+8qyXgMF
0AMwLzDgkt+l8WtLrAHsMrQuTFqzMLlI+F6MAgteoD7ja8TFbm3zyjjqBQnntdqfMrzrJljPWlRb
ExOSW+rOQwIhCR5RdkWedcoxLzq0sfwsKtIMJyQiuqTfwbomo2bGqKrN+m1Mee9FzRitOjveTVlF
VHOCuTBIyHyokMOXZvrS6c5qkGsUMCFt4aLt10jg9pjHPFy5jzqO1iEyzuzLz007X9IYHETOGb0L
8o2l96doqHclGq1wTB6jHitt7gxbaN5HgOS3plICs0uyR7VoHpTAgo7arcva3NuzsZbG+oUQIOYz
rcOhu3ku+fLqlI8bCc1bCmYEmxfZ3YavpeNRgCJG5xRSlkwF/ynUYFfHGhma1gtvAbix5DkMAsZj
TZuspa7jsal+TmWytWH76pp4WYhOkiTfNkCc4E8nfj+y2RnZ25wG12muzG40hUcCS7E2YVFzdcm6
i0h5q0QXeWEcJq6cI0dRctKCyO5Z2bNlnOyxKfYxjSNfEkQ7G+Zt4uhPnWhgCqvM0TOxvD3JcCsr
yUHq4B6pFdhToxqxbyrGzWhjBu7oMx36UCYK29SalZOJHgtWHKyGhj5lq5qrmD4N1T8EkyrAp+O0
/SpC3QPRSJhwdvO6B7ydTxI5s5CQ4/NYx+axYvzjO/wUrpaK0IMKg6srKyNfjyxIDp1EWT7rDe6u
IL0pbZPhQt7JB2Eu9tNJddnZD23LGUAXza7o6CpCtIcboVbNloItWYVxd0QCAF4qFfCeCTYKxtlZ
zaMKMUnPxKpsqxINXZxdLHRVGDSlBn7HYn8OCJuep4c60F6ttNqyvp2SSCElGl4h7SbpGKSqTD9D
wUdtGiNsizK/LQ3i72jMBdljh6l06OsBML0J7hn6iZp5daL7WKk6vxTFwaosFkSFD20N10WHskBY
TGdKgHpVsEW3RIcogdrSHpEPbiID0lkmPyLd9rRO3g8IOTfFmBIZExjohxZoYGAeFNzEFGex9SYG
SfXmGY0XfOwhv0uVfFj3sbbRLPAx2szhPLLndDXHcX2a7fSsqWJLlse1UpmQBhtczdgU8eIZPkve
TgWtw4nfrHfZ1N8vLY5czT3OAF3mN5heV9PAqYM1p9sPslm+FHrLYDiWIO9Gsj91BLtwOcbEwtQv
zDzqyaPz0G/7JOo3uBSnDUt/9BhUXEHtsrsip/2osHvuO2JLmFKG54ImmJfBPEJRRgSCXlp3RlXC
0tUT5sq52qDl0oMAGXt1ZwbTnc3p4WkOCvQbXdmsDaA/rjWM63aypY2Q+2JDLAJcO/4Qj7fRPdVE
ua9He4pnLyMInl2JwEe9Z1yUDqSbQFLxp7x8XubVBXyY0ZpWXVNe5Mnap9V0L0fJqo9p2+Kiv+8y
9c7uKodEgbGHh5XUfhlkkycIa0ZqKD8vR1sGsnr11JlC8emFA9uKeNBpmRLgE2hP6ui0t4FqjGu7
g6iTdPK0+nx75oD/btbwiytr46xTSIdYMkCXcKT3p2gKXlOzw6Q4tylgwhF6rzlcD3Wz/vwy6j9f
B0WRsUB7/14EtNacp2HE9BqofWOq96xKVzblNstl7Q6Tww2Ysm0P0SGz022jRuQDkXOpFgdWqqPB
gSMBEBRhVjYpjLUIypPTwo8LfpSdiWyWV0CfibGQw9fPP/o/fnIO6Zai0wTBPPX7L2TkXRm3Tlqc
B9qB4YSzHsRzefz8Ir9i8/4qkrgP8DUQjSyqbn4jHvTfr8JAQEx52vVnESLVhki608iuc+WgYt/A
Jrq4lZ8kkZXXGJH8CQTcYA/MUCbBQqWBRExyrMbINrtIc24ZzHtd2Z/pd2S8JfRTDQJ8F/X3OZbi
/RgY/OYq742ZAwyYmN3fGEr2mraZpxAjtJkHzp2NQnZIFqdQrbVvUq2ulzRwzleVSZaSg3m/QgUb
1SkHZuihU2QSPqD+oN38OlpLxjGZGaOVnabZgldvTRIs2CE5kRKUu/MIOzBU4NxHTmL5Shw+BJ2S
31WDwf6hhBAJBM5Y0EtbUwGvXbLFKXA2psRKV0JWL4YMwnWcERIqWnYM5NdOX3eGtWNdfLaljCbo
oGynRH/OsIgjO0YHK1CJaWQRzjqlx8hr5lsho4JRyrd1C+khV8Y92KXXNFajb1NmbGSzyn0ri04M
zjnYNdUaeD7ET3W8yU0zIzsEhqA5j4fKav4IK/63tGecJB/fS54HXsglWslGmfcLgP1O+4YdpyTr
wiAiXlFfNafJ/Vn02dnkyOiynr6EDVJ7LHaeYo6+HWc0MrTsxK+C4DciHQIS2amV6JnO6sko7SdN
L6J1kxvVmsYxiEwDfkQYM+Ho7X5JudXzrcqm7g9KXPl2LVGPsBDJeVkggK9uw5wjpxI12NKRuLmt
qNyCEbiZz9/q0nyl3UdwllJaXp2r96Y6UTuT3a61io9GtvLQ5OBeHswnhPq7IVC/089lTDewDDgZ
HNfxji7H0eprr2IeRpOEJwTl7qTeGn1/SpPotoqBpVnOxpzaJztNdXpJZEebVUctWPVk/iFntxdd
t0ZWCZn27Bym9CrxTHjC0Z4VTXpSor7yq3bWVhFsgn4G+yWNJXSReiOj0HCgQaqkfLAb+XoKkd22
h4NVo4hHecI2T3BH1t5pgzg7dK6bcnpFMPutIl+tsMB1TnxOMkbSPr2U0Xi0CnM9lLofWTFQV7qF
qhNfp0JKd5M9r8oGAEcGn1dQ0JRmyLmEl7GXnOuhan/GlrRgPGVP7+iEtV3qmU3kqyHzN8U8mg3B
PghASP8mHlIPZ9o1VKhpFx0lJVilykDMD80+Kb4yIt0NoxJ4q3TI2cWjAYWDAoNGQJciJw4gne4r
CrtmFgzrlu29qHP4blKV+FkqbZLBPsy4ui0nFu6ghEskGYvurCrrhC6TMdhXpL5tIREgoq+OoAuo
ettMumRiENsps/Z6OByEmlQwv2iNoWKnuSQjFRYorxtOCZkJHiBflaihvGC4Mo2VxUCG7l0+rs1p
XerbwOofhQxINpdPpkEMyBjoR3JUILsHQXBgDm55De1LcAwEegz97Avqhm05tY0/mda27qlCrBIU
nYU1owd+8cXW9sWbuhiJfttBI2fCC5B2Z5N9v29O0D28sWeGO1zS+kSwnfv5VrEY8z7uFO9WhsWC
9Pv1ooLTBStDWf5QrO/9iADpWIRPg779/EJL8NffroQ0UgewD/xbX4YD7680NC2Be3IPmFCZyAKN
x8aLA/XOaMJyF5VAhdOxZ4oay26pyMrJrmzDNZNS4jBBD3bg//UIm/mJrPF6LDSbmKnuQYrLSylb
txnlG6cer23U2zFsRr9ow3Xexi9Foj9KUSZuwg7irRFFMNCM7mAkxC9oympSZLiBBIYWrWY9Oqpz
K2b4B5qx77R2F2vqYQ6nnSGcy5BCTmDbBhF7SFWaoMgUGXp6o1Aec1Gv4izYDYJMnmyEtGrk8L1h
2GZD+FyNTv2ohgH45EYLv/hVf++3/LHRv/9Rl7HGu4U9NXVSlZh9ne3xJZrfJvsLIsNX///yuL77
/2UJGSSE3+kc27cicdxKu//isfj8qfiFin93gdzMUzlVw+lsqFcx9Eh+Jhmp1+cX+X248+evZNvA
603FAD/2+7cYrQY0uc63cBh+t9/aIacmuY9H64u7of7+jP9qf5FHB2CN5hel6S9T9rtvM4EAh/4p
1DNlzDc2Nf8uWwe+tMJj4T26hfu4M73++HYTe9HDuHrNVtMbb3Sz1Xaff+FFuv+3l+3da/3rg777
IE4fO8IJWUbade+TNLcab7tNfh2tnRVN7XqtbPid10gRXRSoK/rV/Uo/F98+/xTLUO9vn+L907ks
Pu8+RQa2xFYZm5+fxp26Yqq1dq4s99LobuRvHg3vCBFp45yj9bglYmZ7F/jhZtyy7rnzBlIaLHA3
9R1fOnbbYtNcIN8wZvMfyLM/y960MXbOrjwM2/o+X99+/tG1rx78DxW0pDZxRkAWz6VbuqCCfoi1
uFP8ykN35Ec+I/F1vi83V9+Oq25neBzYkz06jH1yxnni0TlP3e+B9/D5p1KX1f/jav3uB/0YjxnH
JYZek08V7Rw38uYtOX53BVRSDy8W8me39gg73tjnaqu+0EhbfX795T35++X/eo8+rDYsNUx1xDSe
5blcWcNwmCHO9Z1cfrEpLavKZ9f5sOqgtNX6fs6mMzW12w/f5HE7mG8TTk+5pRW1/vxb/fOt/p9v
9bGjLOUs/kaVdOcIc98U3Ijw+v/vAh/OfNpoZ6aZc4BC3aQm9AEdy//8Cl/cmI8aPykXdmFNvGil
ODfAe4X6NMOe+/wiX/1OH1bRRoHL21tJex6XuwI73hkT7/NLfPU9PjxgHe68rmjy6Tz0I7lW5xxu
Fub1zy/yxdNlfViVzCCUJppz7Aaj6elOsUqz9qJpnQd/F6qNeu5BV3x+yX/8Xuh7LaLpcTMtOob3
CyH+fy0Qcdud9fxnnaxTLaLJt/n8Gv94e95d48NLkxFeLFWRPp6NBD0WXLj8i67CVxf4sCSSCzBq
SVn1Z5lFm2Z0SjjR51/hA7Tk7xv1sqG82zAitAdqkPEcczZwGR/vgQOeOCJ4e0Tfq/DSfZm2tLBN
P11rlm/97pKgvLD2qhF71BON4YJV9RRybXd4VY7zrnevyM3mH1xjRRaIa19L7k27Wnb1q+fqSttz
asd0uJpad1t40earMKh/3Mix5f9P6fLxyYnrQVYCXjrlsmzkkttsMn1XKJ6bbnT/sXD3ZGgcfspv
HM7q++kwuMMXq9eiv/n0F/pw33upgYLhTNQSPlpHf8Fcmq5zyPwb52wetU3nP6Pjcws6tmucL5uv
wTJffYRfDIN3N4n0V0kvBtGepQPzfDLi3OS7sSYW9dD9GLdilR+tDVkvP8NnzRs36SX0kx+fP5q/
Dl6f7EnWh+ckxSSkNwWPJtqaNWJZN16qul3q3fW7cbeLl6LlTMDDI4mSfr4WG+uqc2u/W0W7wY1e
vgpM+3Uw+9vn+et1Nz4cFG3JYTZUsKRUK31jbhAXj+t5PR/jg+J+AxO5Tj17J7Y09Y6jZ92vbKoD
5I2bdH0b+0uR8P+Kg//6Ypfu87+XvmEQaH8QXPt3+dvyd39O7RnNg2WGwANR6I8h+19Tewyw1kKA
MU3TkJH8/zW1N//lKIRjgCDSEeD8pX0z/kXeJNN/NpJfjsH/iAACUOS3F3w5tSClwxiLBACejvZx
d8pFpkOqs9lutblfCznQfQ7Vz5YdIkrqHokLuU/n62DqNwR2rNTKvu7a8D7I5tSDX6t5AnhiVUwn
0Oyh9E0b0vuccQPHaOLhmVG/mS085WkIdyJPtnJYoJHtSlDPdeBFfWJ6qqy8SEUv3pS2iIlFzIYV
Ct+ATKqE6Jna3AZhvS8GkAqJFj3m0DdR7TzPEDozYdfeEFevU5JeO5H2WpvK09hPqme244mskNKb
ohQPV5Ucuo5ZrUEZ9jjJ9ktMGsqhELS4lMHAMiuS+7TLXhi9zDs95/0BNwEped7OlfrSN/nZKait
TesWcx8ap1XllDWz5eG+i+JnO5a2g1w+NrUU7i1V4BjUvbzoz0rCakClMU7xeckEqCYa3Dh/v5ei
vWCcIKbIHM7Ogr8vY3Wnl2vY1Uxlwbuqt0tqIxTbNn2u1Khy+YibppkR4zF2hY5A39SoIy9NVPia
euCWRtNse9NZWl+00gPpSM05bMvW6vHWL/a75EYgNiOUZ17rJIx5mL/Q+GXfa+iPfqs2YP1reVOb
cwTzobuabGcrJyiz5YDRVlTAsY1BPWcF18vAr2LiBC+Hc3CeYuJqAafZs1/CrRzNwFlyro4QNmne
Oedc6L6ZwAohVQmBQkTCruVbBqQQGCYEgssGGTMLWD+EdOuZQ6+4WapjfbYamkRxm3to0HnYYjAJ
bU5GUGu9Qk/e0ZVs110DhFaWoJmo0/VgMWu0FIh3lfZtWlqFepXcFAp2kYg7Jwnt3kDHUeVZvYKV
ZR8rSdlldnkSyfjS5+ND1DRvorIHXxmmwJ9NE6U4hBNvqtHkp0m766e29HtkiV3MtHtGSurFUX6N
LEXz0n7c5kpbrpFtMOmcoNmkJTgWmrbkVfzkfhxKIS56HRGvIW8YkoDnxUogesjaU6bdJqgzkKIc
WmU4lbPKltIWe7KwjrTOd2pO8HWGMIMe+1vShDsnCjemruI2tJu7oYlvRSfdw5XcyUW57wjuLE1z
l8rhRZKLl6LJ7s0UMWk2D0ddAwKCH7XrU/Ac6Xid5f1mDOKj3plkHg1b4ZQ7ZSF4TTqu82gf6jKy
hUk7CGKCh0a+kiM9W3doQIKwfRos5PqNPuMoaC+iY2DCmGZfO+qNEYtDGvdbmi8d3zDvdklPWrFc
n0JhQR3uIZJPBDaE6m1TNo+owQ/BmJy6iF53ON0UTKipM6PHNIvW0LEew9TaGGG5zc3Y3pHutTH7
IeLpaE8ahA0P7dO1DiQZxdN1LvWIJeTKi7p61zvykzwSW2rLWeY7aneDxuPY1YSzE4UduSCynrqW
NNQOmTpyXxXZpddBEtcy82W2nc0gDavWwaEQ989F3W0bQ/45NxyEoFasZtIfYvxfuJpmqchv1BgZ
fmYPmYoi0GDtGzVtjxWS0HYzOzhhd9SddDe2HadZxTlEUXTR++wQhNPgQqE9DQFxc7FTvPUx1BSp
zhi9OZuqdM41AdbER4zrvJIVRBLKQ6x0x1HRH7VUOlMo3s7LLSSt500oI29juNLU4aCE0uMo9xdN
Uc5ySjKVaREjNw2vqoQDKBYhFOoK80nLvagVY110jO0qG/mipp0mB+dXG9fbtEw2GD4HvzGVB7Tc
+wp4SBQx6QU20pM946n6HUd2snnntySzbmejDY+FUYmdHHKuzouTVMiBG1SooWbjRRHmxlIDV9dI
MUlactuHelS38Jh4l8MfKeYIHMelfJis6agouEUUhUGejObAqpg58lAIEniQ6ZqhvG3y7qkZ4tsK
l9vUhXdB3WwLCVfXuEie0W3yne/CKXtsq4iSTb9KF3WI3Hs4nieWlXFj6OVlaMO7WJ4b3zb7rUSM
cDvb4JjM6zlTtnXo8NMoF6mqOShAlu479TbNSkZeSrEMuobU7ZXhWmjmqeHMb66yRlKzVTdU8YOR
xy2Lv2kd1AIIfG5ny7AJxWoFMCe20UCk2POIMwCswleaJrHFK7GxwsJhtG3YkNj7YjVLMYnfPcKm
sCeUpe/ytx5Ii24WyZodBtg9uUu+QBsyojoxynYbRISljVnLFtM7/Z4GdU6IzPSzqBtCC8gbTCfC
m7WkVlwzHu2VkWWPfRmqmNXMGiI1ISSM6izJzRMTfXEeYjJuxaUgzO4pUSxidf4ve2ey5LiRdtlX
aes9ZI4ZvugNwTEYDMY8bWAxJeZ5xtP38axfqlRKpTL9a23KrCorAkEShLvf795z7aXRtr032jft
WCwgnBeGq2NmUb85UI22qUZE9UXXLulJuMCSfm146daako1rLI95HdyG+G762qDjwSx8I/OYHOn1
czDiHgeUvGl0zCNDOu16pogbs+veBwK7euq9WIF5Gkag/USZc4Z3OAPhxLb3+CHmtedGbzxZH4XZ
7GmZOAt7+goS84jXzV5J8vfcSKXfauZztdhHN85JpWcm4ZAc0xCw6ArSdc8SDZID0HgTnBMyflla
3uK4ht6TL4cqdC7tKd7rzbIK0+qAE4ypuEjXsZvCPkvMGznmd93EglHO8zovivuCmmlSeekR+/FB
CO0kCW2xFdoZU33oAnxhaXQI3fqIE++JwMIxK/SLxmSlNb1t6lUfZMI2SUqEO2CnMAMeX4Jo0xAE
s+vuK4/kpVYUfstNN039sZfZB8WugKxkcShFfNsYycYxYpxuRDvNnJK/CX9YqkGBLjTNnxWvyA03
dJpvAxAOMmBQ0st22yX6Pu+NZ1iSfpbo09bWKHCgA4atRY2JLqt5uqfPRBF8evLC1dgYJLhJRUAQ
ork9eZQy2Jneci0GRjVEu+/nUd+aSfVUEoFdA2DAYzbEn0FTDv4EQWDTReYVhsqrIDRfSSPgCEsq
psguUYf4IGMht2EYHId0+apm+6qrcFjyfO8uHYObJSxHm7kf4c5orvRNMDveudRLvNZ41TMQKVEn
bjJLu8y6SfUYmtu2pXEisCP6q1ro09HsvNgjtQ6SJw2Q7ulymjzY+kQSJnu5qTTnxTCSYFvF9bMY
2L4Ip9+m7ZBB1OZVe4G+l+rRU3uo2aWM9mFD6MCu0lNFCUMaassZt9yx0kPAXND513WTE5JiJlbP
NY0//DfkvLU+MCyPp2oHVe1AXA5jRNdfLuCcVpVtPU/KxZAIXHLNRDyhnq0rPY2vaGHysTBFBzda
2ssK+DqIJ5MZVBZejE1wI9vshUINa6++7o6pULeA2bY4wcwXL+ruisq6IUIbX0qzYC5cHcJK3BtU
QC6lLSD692T4yrXI08s6FLvetRp6svJvvVdiD4H7EJrefdqVFzHhtpQk7AAoAzxd9zzr9a2c6oJp
v3uV6OFVTvo/c635WEzJY53JF2sybwFcl0fbTIpNHzqMmzvrZcnlQTL98xMREz8c+MVarW9LYBb0
PFnDPsloaWopc6FQ1sqFeTfpicExomkIKnvZbBmkUE1H2xh6HED4+uHEd/2vU/ePrmSOYj8pJPBZ
HAabrPF06IifRBojFmIyjCI+JxVszeLUwjKU1t1fX0Rpn78/8KuLOLrl6IwmOUry7z9oIGkwNabW
tjH2sINWnAToOOV/He//+jJ/VPm4jKuGDIoMCSfx95cJCHFxChBs3I1vY/mgmX97oqgM3DocGgVv
xVnz+9/fytkpSyfPzsXIjbb3gre//fdTOm7wDvFGqeqi3/9+QlJkk+0ajAjnDvvalv9FBf2jXvj7
9+env99yUp3kOu8P/Z1a7qd0pWH1xpz0lSXrv34pf3IpZuWOgPJp486RP30UmUdUdlzK9IzHAeB+
J1aYnUILqKbPuPyvr6X+7J/urt99LOoW/+HuEnqcD66TZefK9Ime2py7ujXP1HnY/vWF/uxF/fj5
//SiCjeRcOr/dSEcmUWEe2rLOqKW4uq/3Gt/8r2kZwrQv8fqSN35T8qlaRdGycJbnFtzG2Rvw7Sx
g4+/fjl/8nX58RI/325La7NXskVxLry3JHixtP/F7SzxCkJIw+dvf9dufvhckjqzO0szinPCE5Ds
cjb/Lx5ewCEEWQ2Tr43zXXv94QqFVrC/x7d+Xty30b3qFeyg+y/Prj/70LmJYbxZqpVeaVw/3l30
aFcFTiXoNWz8Zl/BBuybAZcZlAjzv9zJf3ItopwgbXXIujr60++vFQUeIltiF+dInak3sWpz2rg1
cfKdcfv9w/9H8lTdEf9Z8rx6q7iL/0AC5Gd+kzuNXwQrFQsIOH1Lqnvqt5CS8Qs0fwK4QldhXwVJ
+7Uv1vsFciC5IVRSZEiiTP9WPL1fdNtS0SWTfBGLxt9K+xIT/t3TDsVTaao8hShCwyQrzJ+edk3d
5pY9GMu5qlrqXNhirBoJPbKy5wc9qXeBYp+Ner0Oqv5d9AHNmJhDxWQdWzvIgDRoYHfqtbDnk71Q
smJTOcXgqoOvEJ8dqtjnwLsWWQjBCO4fAVKxSyd5Gk37sszLnRfKfZ8YHCgod/UcdNQmVChTZ8St
WPZbeiK/NKc4UuZHW8RghSfXIWmoVWmw8mp7MxuqR1yjI8mMD8IecSUa3qNbmdds/M+2pNimbwqM
XOaQPabOTEohxe5qyxts73ch28PChvIw2zTDhVmJnb6zvsYyTE7L0ldk1bjObA+7RWtCwgGhrzls
/7VUbMNJR/LJxggxJBYkWMMKmyvMXaMaicjgRF6TZPJjspCSTGRIVKNTIclqaHf999xkaSW7SUUp
XRFtyzHdNwq4oLKWGFHXjUX60iCGaYqMPCbBzEAlNL1G4ExOURRVelOOzl2t8pyzSnaiHPMqZGOd
GbPjo+8xkC2SxlSVCUWew0ln0jVHWrQlNtqG3n2icqSxZu4tgqXsUopVTlkQcbZ83ar0qaFyqBqB
1FIlU2uVUUULpetpsg+c4aa1FVa3dGLu6apz/UhlXMMFXyo06+CAekmMQ2Vh8UttY44Dm0XlZOsA
hIRNdLbROaANtU4oXOVqpUrYLkRtI5W5xWIdrbVOx1E6CpnyuDdySu2C4uCQBNnDeMTPqHnpofLs
9eRa0CMt4FTsTZNdV9pZvW/w0wV33uhpF7oTfYZaWW28IJUXC8g5/NjNoanDe+RarD+dsbe0CuQf
x6s26u3N4LHhH4ryWHjNqW3zb+VUNDjhx6OYhueqRR6CvfLYG6CvYlBE/hBUz0PriY3bLpd9MV3m
ubBA5iY3S+cNuFLCXTfaJ9gjfCW0x27U8aGOyx72IH91SEK3DXe9R0FdDIUGj1a5kmm7AxB0mTm0
OGIQfV2q4DyI9AEOGRB72ntDowbIQpu6n+h1vGkSwhhxVLxJkZ6iUPOnLIw2MNlPRSb3HQu0P7ra
J3jfh1KbmSpreK4SQ3yacfU4pN5aowh31dCr+TY09kbTtZfBQtYYO+9kgkKjp8lJb5zUeu0qOr5w
SbpLe+TojZMRCEi8gNslKD+VpXHC8brLBPpW5TpHcyJk1nCC1ozolrQTRLF4fjXc+1TbWLN3rOIY
VHNC+DkClVZUGoABl+R8mt1Qa6nBaWleKq27TZw+AK6yXEc2tYkOkHBzxO0bJxtNc/aL6rjsAqRu
0dDPhN1qlUXy5Ep5cLEPQyD1e4tPHRTacXAnsIn58iqdodt2eUOgfI+URvZbS0Ifh+ZlPy4HWcXv
FBuKVaDr9P2OclXFyV2X2e+yoaWMDDuKae0+Qh8ufD0P+BLjUl6ZUbch1McQVC7ZtGsLsm3/agT6
Z8U12JD/xYr7Nbx9/tmay0/9tuYKWlxpzxIQNEzHVB7/39Zc/RfDE4ISJcskmuuwHP665lImYDjE
RNgwqTCx/sOaS9BYAN6gF8CjNpZp5t+g7xIm/uOSy3GSfDCAMS7485Ax6OPKtCFsn+Pi2pxdlo4A
tXvq5MO0GCDsZ6NeSaO49Jbs1put97nKNN+FJ7UaIxjwc9yS6+/kRZvKsyk4LUya8y6j9JT18pFY
2oM5Ft/6PtzWmkMhAb1HWZVXK490kA/9ZSeM/JLoL0VwwSBJ5KIuiZo+QI5fDOHSRyd0FozzDtsB
2vXI12er0rCfSWU+hvPyrgUeg7VU7se6f0jj7hruPKZYUNRAT+7wKT2U5RReBUN3UY5DtZq19qh7
yJRTMWzzqeQ1LxQLmKva6w+9hxHTkQFtkcW2iLSnHiA7dZYrMLFXHPu2ixVxNHLdYBMULaVhY7+G
FbCtvQzmJuZzst+fMLXObao7BC/q+W4hUhwPgenrVesv9cT6l5gxC7cFoaAggCE1+yVfUmMDmsLd
TLHILsjtyXU96i0gOKCPbpmsvVHNFqW9ljM7kxEOgamDTqIiEk3QfmxqJl9EQxsLYaxn0SaYU0JP
mxwmkw/6OCKtUElbR+Q9OxHRU9ANDdPPMGG5icLMWgclU796iC/R1zdpO+9ENu2XcXBIvoXhKglx
gApr8N3vsApKFi0XeDLtq18V4IpMEJmhT+t1ITC9oh0MgS/oHzq46jH1k4F9Ab6hXNlWe5j7/jg1
boIMW+xLQ2gbyAYqSzmcpCg5uDPMiiLxNFvORV4xXczt+a3W7frByqmNzC1W+GE1VuOBiM4O2nsA
gi0ACRcHe5IypR/W5nHuU30lNVoXZ20G7px7j9pAHalTa9tRGpQYD+AzQGB5wXhYJCEbUVbOygqL
tQTsyjag2sVx5K6Eu1wXRrA1e4JKGq0CTdM/LijxmW18K03VqZCgNHqMvoP0gZjwC8UA11ME+mjq
PBBpy3PbkBIWsKwYoLl+xgSpmLqLvHe5m5PleeioX9Drt45aBCJjR5BhJKWqF4cKjXVgMhpL4bev
sia7Z7l4iDjYrqqesKxwcbxP3aZaAPh17kstEZ6b3jk1lXu7RNZOmMGTTt/sjvIJP+/7V9sLbw0o
YK5enOngO0+VwDnuLAbsOsB6tVNcLulwRYfHNi0+U2JDPYreph2DXRmPYiUzCwgapRmxY689AdFU
jn3KtVtcje3kB47xlgdB4dsi7XzRWhfEzAzoX/O9s7BpmMrMXZmNe18U4ZE+yZfFi06ZnG5MA1ao
SIuVrOVnkIt9Lj1uI/oImKNwAwaqgnTaBInxhYmu4gul33MbP7sdsG4d3GwX02MpzU+5zM0m0cbr
MmDkk7e65YMdc4m3k+3MHFicHiiClZ1O2TUs19s05bmCFF0fgiESm3zWx23hyPcp6N5AuV4HOlm4
wLWDdTsKqH1zLdnW2MfKa63rxfQIiJdRcQNNMLmrCv0jmE2DicPysJTlpbmE7zpTgj7r530eSG3T
pcZV1JHfbsGP0NrKCAec6ldZuQsgBGjLTVqpZt+ahb2TvAPShdJqZ40fWM3lorvHztAv4l4/EJi4
bZg0wWQ1D85iXeHEOpY5rzJO63XVRYLpj2at6X5aJ1EO+Ne1/qWC/bPk26y1/3nJv++zt+brj8ds
9VO/LvmgRym/Eig3BpkDIuP/XvLBhBBAEMQQ6CkWyF//XvKdX9gH0J3FORppkbX938dsZSyS5GlB
ldOF51j631nz2WL8tOZzYbQrau74T6hf4qdjNohpURd52V8tWYlCGvevzJwZ/6QdT7xB9cNmT7Ye
xD6Uu1Pc4Lqw6Vj1Obpeg9s4uBIUV2szF1SHbR6Lx6hPTjh0Rpbm+A7g0OcgBspLy4GgnTbmOF8M
fBM1T0vhhH7eMqacxNO4OK9Gaz3Lmgoaj+51xEA241JbtsyANI7nEaUvDcGukCFQzLTK9orXai4f
hohHcdm1HD4dh9WvOxSwSjupPXEshYjn4huOT0MaXdIU/9qWXq52HteNaX9kMvT4osMfpTXZ2RkG
lgy9fMlnQtdWwkAPVF/q19m4p1HlYTbIEIXduLWsBfeBKrkFNcRsllpXxtU8BjPnsu2yewasGPtC
ivxS75b1+7Nu5XVsA9UzavxNIky6TTCOV141PPOk+wi68iWojTNc0g+KAqXfp0246YvR3bdufh1W
cq/anDBNvFJENmyqzCO26aQZS1/5MerylGr4IfK5IWUOfJlEfM6xtiZcid35klEoS25AYowJb1w1
27kct6IZL0Ip96Fh387L8C22ki83b+7NONzRIfwMOjJfC5c/kg9JioZi9hEbjSHgcjIGdWiQak+R
nL7B4C7XATpHySLg9w1HpVwYT1Zo31od9hzArfdWaHzrDWc4zLH6cXgBW8vsn3MNj0YZwXwBdNl3
6BBB3yU7krYvKBDp1qj6K2jPjLNSNyMOzOZLWBqn23QrXALIVCru6i5CWUirYdVXfGp5Z0BfwCzW
WzH7OI60Tty2u6CFoxrk9YWKpEOfgUhhj8utS+Z3LCCT1xYmpCXw+E0Qt0THiNVbWiKRPXec7Y6a
7y3cxHPLZ5gbVYgJYrkrw4arFt42DIZtIPq7xTMv4hEVxzWok2nrIFyHGU1uQ59+dOX07BVxt3Kd
6l3oGNOKMvCbcYLHK+K9Q9GRX2rRXrAPXGtuWviCpm9nFiyGcU8KU+OYHI0MhAfvCzjqpTdRuF61
DFwBbxyckNm10WM+CHO2uTWajAHBlbsxB8LZvbc9KpVo2IlaS7Vc55NjHK0CFChwXBkeMgNj3jpN
xyfG/tSkN1obxY+8DUEHS0/N9x3IrluH9bi4d0nFlmsSqMjCkn5tEskedEiNE7JzTfl3dG3WU/gC
0WDTZtxCK4um66uKkS/+EVafcVoJwNuRK+mYr4Xmh9KebkSmUTtWx+ZmcgeTNDl9T+vJc9r60Lsi
oGApnjrcQ8LMkIBmNtFjdsOUaqp3gNaM53RkIHbKAOHwnMkifT057ocIe3xhqGsNduQxKOWyoffK
rnG/GG54Lzo3a18MpujkhcwFynwtcid4Te0YpqowGlqm2ZP0lf+PJs251hZqevOfl8vr7O3jq/nj
cql+6tflEhOuYO5IO9t3o61ShX84ITNl43jsMPn8ri//cEJmJTQV2lsyuhDguH8tqKG6w9XRpQFe
Gd+7/eTfWS6pc/lpuUSVJlrsIZJ6hqHKaPn3HyYxwzyiO1nuCJOJB4LVpU/lMN+65TBsWE3OuV4n
H2U8FKt4Nu9Bt3LWMjW0Pnf8pkVii1XYWi0mMf3QqzeiyLAMuXiDCIi+NyEi5ZRBwcHScmvJLOTc
WgYknGnuyKHmRpX73pvxnTMsTxF6IDYccLFGZflTGeX71K0uTKWV567i0Mpiu2TGHddaj52Ozx1I
K4+Imfyrx5ciWJxTl8oHJrQIRWn4mbTeycJ5IKzpHIXtvnQ5S7BfvzEiIba0EkJ6tobrycCWxiDP
4SlHjRPl5mpbDbOq9s26Tw5IH/D9K32vU5C2lZ2iaOKQ2/RzZW7MNNixbil0QS6B8lv3PLwoR5Dr
3jQ3YD8EjW90IQMsPCx6YvldQcUVI9ZHW37mVHVQCKg0zwt36J57scQUTbQThgaYX/2MHOAMYCZY
ab8GUR4G3d26puaupIgeQx2Yh/Q0PH8YYTBvcCZXGqd7HmP3Sqm0Ydk8lpr9jgn56JYpLh9wV6aL
5q0f+iC9MWYMo6Ht3Hq8Q0HsUsVVNtsxy64aS946sXhPp0WsaN/mVCEgN0l3fMgN6yVhzG1ULr0V
Q2Ftq16n8nlyj3ri3WsZbipnEYA2AXSORUJTRvBQTc0VPtFj2NAx0WbZl6VFr9Og3VcmRsJouqW8
YCsc7bnXEjYxVJ7a0Aj8pgpduLtY3aDbfHPn+U70WgzuVJ74mC5HuBs1dIPA+oZFbxMYvJyxX7aV
W7ZryE53JV5uJ/FQdEN3tyQgPZqifDUL58XMW6od5unN6kfuLx2Lah4WGOm6kpaO7JPWjCfZmJRX
GOVOz5yL3pn3pdN9DhoFMkZkqgj5LoxjkuJBfU2iG+gmTtw1CiidetrMmhcRhptNT2Hc08ek401a
WAtXNqdcakWM286pNrLK93DvG7lpu6JivRjDK6MvH6f2JasPJt+5FxLlWJhrEN+s5XhzLVbDObqZ
x0YegpTlsHTbaWcN2PtEP1p+X+tEg1RxYqxV3xgtdBLzXN1xkouCZN50eVovD8N3CcUeJg9xI2QN
uSsCE0ECW9IjWycKVJBg2GTD4kCUmQoLdUbJNF5CFWUhd+DaUXB0z1t3Y5NdYOxxNzmIWHx35ks5
2Aml83zdsohbuhg7hxRtA4bDNn0tztehJ6c7j/o4xS49T9HyaSAwAab01jGSk0B66mGFwbjCK184
XrQGPY5px72aLAt0R+wvwnuKEbIizw7AlGHU7cjOI3U1mPAypK8s7rdUg3T+gihWVvjMNWQyKyrC
qwzhLLWcO95dfUcV3lWbIGsgsUmktgbMiB8G43vrWI9laT7nws1WBvJckpmoSDXQOkzBj3aEYxRd
KfLxPl6NSt8rlNKXRtmlQPrjfzXgpLNbqjsbRR190KgpKDbTbzPCYZW4j1XN+t5Y7/TRlL7I3bOD
1Oj0pYB1FZkrE5UM6xWzBRHo72JKbkEJXfLhoVkmHEe61H3IByB4S0bfCySLaIPza+2oozGnI+JK
nJZpHoGOzVfP5RzdRsahVQfrmBM2HQCoTPqF4OTNNvUyVUdxVx3Ks9GJVsGQy5UZ51QluV5CiYuu
thrdlxYt3baUNViPXtI3WYmrQh3/ByUEGCgCSxi8aXN+GaEUaEoy0Kf5Q1MiwlxNEztEjN6txfhr
hhjuhvXHiLEFvzHDNs74D7EHs7iqPuIFuTY0RH7PNGivFcaDS9GNH1R8GpkbbFHBxNoLPB4b48HN
q2AdOP2+Slgdqg4EOGShNs+417DoQh7MYCA2F41QnarMSIsNx5J22wZdK1+NvO3cf+Fv/hEQzL8U
EO7ePpq3nCn9n5C51U/+tivSAYoyAaCLhGiQ/GlXBAQP38b//As/9evcgK2P6cDaoE2XmT2KwY+7
IkFvse6auK8AfiM9/I3BAeDSP+6K4IXw1wEIZ7Txc4W1mQwFX8ppPE+ZpyA2MeS0ATJalShdeOrQ
S9OWIk3bGl7GJD9WLR2W8E5dvrpx7AdzCEeg8PTbMHQ2TH5ZY2YIOo6ItaPoljc7MBboS93X6NTt
xsVbu6qy4M7sNecEgzdazYNZb6tpqK9w5m2SMHrksARBsoi3sfQuOBZeWI3+LZ3mxzFi+2Cl5zrD
Oa0be2p5gAIkVITFuVlhK9bJG8wmWT1Bi1Qo2VCwXf1KXOthdLTXdNC+xoEJmxtQ7TGNSMpFmX+C
Gg1XqdCuOjH0a50GktWYMm4fJKH4iPAVjA4dkN3AdqeHgtXP5WOUlzeGE26cksSRO1u06/Yc78Nm
14enMD44lXlbtw75huBrUYGN4trRsfabTQoXz9kuU/KU1+YqMIKPqLDvBxugtUi+zaHSRTPjxmuo
nfJ6olBD2DJY7XDb9J3CGkXZdurogqmlWa8bZ77LqQVYdy5IGSbFiW9mEeGbgrPUUlqLn8f64rcB
TTJa57Sc/QB6R+jOuUa0lE2IYokZ6wlBeZXMrPh6bIOdLDXz1NTKh824xU9xqV7gVrgt2wkPKv68
HUPKAzuleN2YXYw1PrH3fSDn9LEINTc8Ge2SP9HDoclVltcVb9+w+JPpjKthiqkWtr1vLbbdKRrO
Udfgj//+YOq+P6Qae4k/qblwqYbTGTHHlg4kkFDE2RWAraiXxQWtyOqVYqznirbOPP6x6eJpTw7v
NVVEdlux2UdFadcqeO0G4HZZjAczt3dVE/Q4fjEYNLr+oPXQ3nv0V1hFS7EbFAs+t2gMc1tsYS2g
+FrwXpqg4yeSY/fcAfhBLLekGwbCfKFY814PdT4EP99iBDu6qTEwFom+Kp1638WaBWET/UrzFMBe
YF/ONRsCkuz6faM49waplbvaqbPzULrFfWogCMHTjvAewLIHld91DpuvfoETFdv7yWH31gcaoScy
RoDgZ1IVMvA1E7huThfMxo7JpOA5wxQQB85FN4u3Kaj8OhofGf1VuDXEvKLkNlmHlkTZmiztoGly
fE2TcSSrUwfr2OuKHf046Udq2u0+I2KxAkF5kY7RtB8wH2yArCo8JO4BNCDZ3IymHlyCwPVO3jBf
tY4rGTRgPGQKxjczH8j1Cm9ad5BbT5q3AMXVU8JHUAw3/5zQv5/Q1Uz3P5/Q72jSyv9khq1+6re1
yPiF+CkLjufZ/2MO++2Ebv5iI3SzHtGWxXKFlvzvtcgDeE2rBFBFE4shv7At+y76f//3e7km4jiC
N5Yz1jbj76xFlqdO4D+4ZJVgrsiKKN0kdj33e1r/hxM64SfwtmQiz4ZJ9nJre0CDWSD7jybpN4OV
oj4pN4QW4ItIdPkYdJjrA+WZsG33nY7NO1e5KUBor/sOPy9QiHeotIcW40WqHBiN8mKgrrKDwqCR
mvrrqCwbDDrbY17Xh3rAkLXEZ7PTDoQ9Ti1uD13ZPnplABloo+Gx4O0LvCHLqK1dvCLd6JTIf8t1
qmwkcEhvDbN7kcpgYqfFzZxqOj5M7V5TJpRA2VFYNtEdnWOWPGcYVkblXEns5LZVXha8c1g+7GOu
XC7kFXez8r2IyjpHygkjsMQsWGOGoj96bfBZyfEYG+jvykNjKTdNWASnUflrQoOqCAw3rXLeNHOp
VjVvvbTNY4w5J6RfkbO+Wfu4kh8mDDy9cvKUPG/T1DvNyuOj8xoCTD/xUr21ygU0BGm8GZUzKFIe
oQKzUKBcQ42XP8zYiAD7vebKV5RiMJq8etd9dxxRwAG5UN96HCTrwD6nBu4kRNx9r/xK8wKJ2pFb
9q4nVuedUM6mFotTobxOA6YnD/PTqFxQI3aoOOJkNSiHVM1hs1aeKQYezzYmKnYYzapTtirsVeTF
Q3bm4ZWMrGhdYMEa2x4oH6asNpANGm94b2DXEsq35bmcR0YH2ZOWts8idO/CYN71KcGKvKRKqDQA
EJva12RVx8Uptk7SPfG/7YuSnJw1eNRLGOCvo6S7Ltoku5RTfk/vhI7OL8k7OXyfUCmDaO327TfO
4PvEbchWYpDo+iYkaJGe9L7eVCWAXpFybIEKcacPzS6x0xdr1neEGtk3efaxVYVAXQmssCjymz6J
5m1NC4XVAYxZYObNkQvRmo2jny7NqZLkmJNcwdFmc2eE5TG1rW0mSbqmPLOtdLxIIsBuUQN4QfLe
W8GxI1ZI8WLszh89uspTBL+HtKjMmbtTLn9rVEBYwpWHwnojKlnfAo/Ms50+xVsazbapFjk4FYNv
dD59BbYU8FeJ7YjavXCL6bF1mvcu7etVVZY3bih3WpTe6BVWQkJ4Psv3uppcVjZ3YBskKIaGnQc1
1OLFVZvaJSdnTgmp68naRFQPsca4i5+QIPcrTkBI9VvTmYlIG+t6ml45NeFUmx/4oCHYJRpTDO2y
qKMd5ZiHAjI7cQM/TIisUnSWgJxPvYJYEUrGbC0oct2TXjfryAaPaQA5HHLyRmYM/DLGp8EYWIlB
uxE3ZF7lfCCPnYrkT71K6/kDadxYC9haFi4c4nYdxfI5TyA0tk10OVRSXy91LLdT7vQ0sxV7WYsr
s5Mf7cjQn4TrPLn00FtybVbziR3WYWxo380N0RyNceSzBbzOGKZvmw+Studk8tZtYt2LOMQhNjNo
Tl1mBjYHwBTfn2AUTxOo3LLs3tl98AU2mrtzyA8dozS/he1MBc7ka7W9t8z8OhDLwPEUKEBMONKL
Bz+y+tPoFseJCNyKilSaSjyQrf2qw+XWY7VtGHngW8FXMDwJozoEFlzIgbaMNMl4/k0FzT9OeWvC
AvbjpSGnHNIYmOzVtLCKh6vAWe4pxQG93d0ERn+BHQarB0aJSc7rZTG2jtNsTBLlZdkOa0ZuC09h
cyvt7iiKZeuRVPLlrK3qSrwDRwM4bvSvZuxl/mjY5oEigGudzX0Vhjf64l1KD+FtIfFJdct4IZyU
vQppZ9DmySbXYnkwQ7vfyWi6pg+H2r35mm72b6axbAu4m63TbdrG07bIOAWm0e48d9V153oPDGIj
7C70FU+5LTdTYmTPqRnM0P+Hb0nbHwkFPmZ9cUiQ4CLZon828W2/GGsjbr7ZIZTqXq+uogkQSrI8
pLoBDHhAWGOn2Rb2TaMFzM2EfNGc5mmqKbnNo2rV9rnrm5Xnd3p0NMhHRpNqFwqPVkfPamDNh6CW
mECxXxE6x1CUPg6ZNqZrahzoyl260ffIq2UiPhi2steOOUOcMvq0BrNfz0M5wQ3X3+SynHXa4jZs
F5iRARedmoVaGxPVskNWlx1EoRibZT9PyN5l/FQmxnWJCEhdO7v/Eoktaj9sz1h3wMKJOJ5bZzos
Bs+vBtQ6FULFwzRrj5Rd32exkaKsmuuKZhcqfMfzkBKoBh19txS0vGR90t80HQ1qdkY9gqXSzw5y
DvtgnUPs8Yf91PUfY2jGH23tRJ5cTvPY9kzBof33A4S29nRrlqY863f56tneDte1D8jcl2/3t+2J
QN6m9Lt9fMlkch3ty210wawsOUW7fza43ze4KifwFxvct+L/rOOv8M/0Fn7w1z2u7vwiMG2wZRVq
0KQcl7/ucfFzYJBUYSVbQnxSzoxf97jsfvm/G+QW8FTgq0Al+XWPa7AxtkzIMsJyPepmnb+zxwX3
8rs9Ln8Sv4wQBg5Oi8yRK9S//7DHjZMkaiPi4ieiaUiqwO87WMG9Y6cXeZyPFXbKYXEZT4OEMEAJ
FPNy1zM+AcceXpp0u76lUeGbHUZrUb8mbqbr13gMSUkkAw6oVTsU8pyX3XIRmn0WH+puNu4p2NXs
g94KZuJS8qzKAzO4SGdHsDNI00S/i11sYeBYl6z9kEXojCcWm8a+qVjaB6fIvjBHUXhZxH2G35kp
FKNbtnSyZmW47eq5O1iZ0XJMXVBDN4GYe0yELrYyt47E0ehlcGzqOqHFEtLMJpoknOm66TZA8uOj
3c3WZRD8f/bOZLltbO2yr1Jx58hA30TUrQF7UqSo1pI8QciWjB4HwEH/9LWOnc6Ulf6ddSPuoAYZ
OUmHTbERcfA1e689VxTCQRg8d5IYT+ZLIdNlz+aKz8q4u4pN5xm32UfM359JRS/WmLq47bvOa9UW
r24gDAY0RW2/wEVh2YzVvY6GfTnrzqbNtO7jgAZ10Zs6U6sh6wwcCQOmEBZcD4ZGjxoQwP155N61
k1Zp7mOW4kctM1nOGQ1bprrjlKqqeouzRSwbemDugdCDHb/CY9dQUQUs+/jlViu35X46SAQUbXHh
dwFA97DxyBd35n1mM/JKoHcvbOot6ohi0UScciTLpUsBng8kQ7aq/ODVt2ONtPt5lxtIclNELlPI
7kUDQMgag1BQaY+Paj+/yoYZaLvrbIVBrlvXkm4RN8NlZpG9rRNxvQxyZ1w1jucgqqvMM4aS7FYb
HOumdN3yNdXt5lDUSflAxCmri6R+Kac+/XZ6/jMmtnDA/frUWryiDvnZscUjvx9bLM+RbnPS4Oji
MFQWvu/HFtmOrs0W/M3Z9P3YgmCFwox+1mC9/gPDyv0NtBWORUaTbPf/w1MLyO67U8sBCs+hqgYB
bHNIuvrx1JIdX168HNql5xTpMmdBm4SMinIXs7ki8mTeROITjB5UitcMhwMCk+H3DIB86BfFCqXy
flaMn0rRflCwi4WpCEC1YgEh8/k0AAcSQIIqvT5NnbWfFT2Iw6dZk4hAI2/d40HaFoo0FLX5zfgV
Uw6EyAVGhLNWLlWuQqA4ReSqsP1Mmwd99L6Mtjtu0qG6Lcz03jPUoi1jq9RpSDWLoH60u6pbJUa1
Iqtp2KRRBaVFaJuyzrqFoTXbIdO4UkMW6NRXh3j2hmSFS4QxM/QMbRWO9scq77XpOh1g82/y0RgK
SCCyZVAIjrtCS27YgB6IxRZiCDaVwQCil1OxNpkqQiOw1j3BTQjR0qsuBXMYlMRQC0rWTk9fWs97
DZmZwLSC1m21l3l/b0qw92j7g+UQdGyTJnHrjYQ0GYX5MYWHQrEMHALSBE206C/cUMpDrZefgFyR
aVLmMSR+Ns5Myt3CNq/rLCKaIPac1TBldzoxRJnXkfk7snNiiv5Y2uJDkXjiXM2jODKUn5aaF6xL
jzMpIlclF5fSkNuCcU0eeIfRCR897Ifgxq1pL9x0Q2Og7w12nBBdAOlb7QhPygVloOezteT1PPhR
mxx6lvJrsn2HhW+E1KuDVZyxmt6x8kfgX3nJApLbhf0V8tIq3kv2Ff3SfMXAGIN/msFT6ZJAZx3d
kYolYkRZ6bcRKohQ8WTmxjrXAGY0EDg1wBkn9fYw1rZZ3+1iRaTpQdO0fnEeA0BsozmxEuiXdsFv
foDclTod4LL0gYykO0/E24GJM3Hc6BLg4IzwcEitODbwcRo4OUmLhkKBc1AzVbCyGBLMUHXGfgCv
YwDaIYrm6Cr0Dr/ydIHQ6TVlx9o3vDZtQn1oKWSPC7sHKx/hYs5H9Ex4FShv2y4/sXe8IRyigtAE
AMjSCObqhk+lJteFvGs68PoIsK8jyEEVzUVZzYfGNT7oQTqsUhhDEtYQqdZkGVjWKZHZx0LhiDTP
BYbGNMWCVBQrZJGh4EXEcD4HoSHWejHA65qxdTCyZyVtMmMWUlsJOEim73yyKh3OmyIkRfF5gJhU
N2R2OcaHXKGUdJM5hYIrJXCUQmhLaVFedgq/FCsOkwIyYbo6BgrRhKvyIs/5Z7CbhhaI09AUex+q
U9+WF/zLGfaKZWGvYE6RfaVAwamYkGIoNlSsK04UOehPKeSo0klRzyiWlCZ3gLKeJIypIWBMAnMq
tfyPLQyqoiN/nQiCFV6MZQulqomqx0lhq0y1GRps9+ib3Y1v1LDrgaBgOrMeE6hXg2xIoAKDJXz7
2oKLhSv22lSgLGSZJ6enmRxhaIVl4++DptoR9bFN/OwhNbNjpMt7r8QDlqf6TQuPy6zyUwyfK9O7
h6ywbxsF7iogeCEIxZHTnAigZ0fHUCGaaJNI5drlZn1RQwHjS3IQCgsWwweTIeZGBQzruv6xMOsV
HoJ808MUE7DFtMC40CxgY/Wg7W0aQR0KWdvU+wIq2YAQNpizIzlG2zafr+nnED0WNal7zcVY8ZX1
2YsUMr8PIZ5lA5CG2tm3kNCkXR1iyGiGFX/oZXLrQEwjqiBfOG646R1QKTDVMthqhoKszdDW0Dge
J+hrhOVyhcFji0V2kcBnG3PrFv2UtcDdtjDI1VymsNzsPtmUsN0ADF4ksN7+6ai+dVR0F39XmzTl
c/OSlD+rT3j09/rEsH8zLFVlBL7zrZ74oz6hrfJ1HOe2Tm6mcrn92VY5/A1FCLB+z7VcT7nRv7dV
1m/sxEnMoUKh6EEm/B+1VeaPqwMHOzyuNMdF4ccimx2G+vs3bVUwOhoTNSu+1DJGC05ftOTpTZgq
+qn+2DcWX6a2bhtYZpPmeUvMHWyqw6GW6T1wS/xbxEij72hMBqt1FY06vhW9vwZuRnZMh/6+IbZ3
rOfOXIx5j7+WrAbft8aV9TX3N/OMet4Dd2kiuW0rLY9v/bYdOHuwji5KDTzpguYqvSsE93CWsKm5
zDN9uo0R4CYLk65wU1X5ehZtLnck/yIocjrvQ2n0GmQ/fF4fKtw0mECdap6Wdsn6cqlJJk+ZVflX
VtZXKL3q9ElzKuZ3gdESttTnIStTI/IXiJmSEx5qv1sW4VxESz9xQ/KjzX0Z6cWysNIO4o1XXHpu
2d8UDMHXDaFtNui/st91WuiweK59UoELgE5BG4iZu1XnktPiJ6T2pHCeb9BIEf4+t0Wyyxtv/lyY
mhoc25Msl5POTdDcdORFszBEQQ640e+tduuwwdbkKhm1/gkInmGsMxyESPiNLi7XaRAjdlxzRszK
9DdY8xzsGFfyz6aqibYeCoNr2fTpRzST8jrwpLdJc9dg6yzt+I52+jKwZIWRSOPTvCq1qNfXkVQG
tSgUXb2PTaMLz35ipk9ZLs27McDmQ2nUMQEbSj3Jd7pVYqfQ/CpM9zXV23govMQeXt3Bj14ZBnlb
wIYh4MJYQOoKwG9JTSI11+DWZH4iH2PLqJpzzYKVW1S7+Ofk+nZyMXz79cm1IavpcyI//+zg4sHf
Dy7TxJwLq8TWHc+FEM8R9EdjZf0GJINmhNQ8Dif/zTwI548ZeHhr/nzU94PL+42+SncI+qJLc5Vg
+T/Q37yfBrGKVctTh//4ofZXksabY8vJdd1Pw2Y+z+1D7YcLteR/88H8ZGr549DSVztVfgawVdsM
1G733byJ/bxbjZVlnOWoIRncODneAuel73e/fp4f38lfn+fdcFRoRgWAwjHODoZSozkO3suvnwBH
9F+2wz+8k3c9aGTUpUlgnnE2R2/R2/de8AXgwDLQzkHXry1TX8r+qWIhkly1+IKM5JVDNYquTHHd
lmA5sFfWF64TwWtADGyzPLtlcr4ag+JvPgo1Y3y/x/7hlfLFenszslj7oBVVn4W15rhlIfHQ9clS
GPZ5QLwahhka8y+eZi5q/td3k28mhf8xkU7Jw/7yApC6O67Or59b4jtKV+lHRsviZTozxyHFy8Dr
ccxgwxDsW9k1ueygUWDF+v6hGeXC6YYbAykkJ56AeKFrM4vymvK36nSgj5FKL2VPuc2LR7OwDkOo
IwgztdS4H60i3VpZkII/9wl4TNN14zb7ig4SiObGaCfaqmkbz+feTdZFhI601hadO2+bMbgqzCtg
cZsQsCj670jeQQ85WW2+aDJ31YOuMgfwvoTVeUT6TWm1ypw7URGm5rJ/nNn1JpOx7AC0enqxVhlm
9aNM0Vpp2IeGkmxV+zpNT+lYbHtIVfeFky8qi0Q5Edy1truy0YumPeAZJ4lsGGO1v9L9wl6LLH9q
NTZtxdwsAsIsV1lk/w3mzHrv3Xt34dvvLpchCWTajnI+61trF+7nY/tgbUGhnkmvO7Y7pqNrfxUs
CcEmnOFQAL0fn7R9tmm3+tY9JZv0b0IMfxzw/PXypYh7+5W187zDQ8ZXVmR7wqDJkm5QKmxq/W+O
o599M98eR+q4enPg+Ukx5zFt4VkrF/nd+FJHSzxStrmiHvn1eWH8+BF/e0tvL4L3JSFXTGMFiXmO
GUtdgeXt0OTSz0nKimV0xgn96yf82QloMNtXPDSq5ODdr5SsrdHzcss8D4g8yvlTr139+gl+dgC+
fYJ3nx3DF6qxyMRt2K86zO6DtmRO8zfv4u+e5N0pG4yBO0/MHM9BfzHXh9a9Q17y6/fxs1vS2/fx
7nicuFc3DaGWZxVEOebQKdybIEWoMX57L//tmfMpIfdSii/t/1Y/+bOopiaJ4vb//PhH+e3P0atY
PbfPP/xhXbImmK6712a6eZV46L5XBOpf/r/+5e/Er7upev33v55fiqRk8Nk2yefWpJr5+gz7l3//
y/hWHvFr+XV5dBDPdZeUP3/oH8WRTgSCZzBvNZWkWI11/yiOjN9UlBsNHTWszUrsz67O/83iRZj4
n+FMomnmwvqzOELV9fsP+6oi+/5J/F6p8CH+j3exbyy5P/VgbOQosgJb2clsIGOUYz8eFp6vF+No
T8150nrkswuzM7gtlaWfwmuKy3NicxTGXnzpOs2WRsG5rsEB0GjpN1Zo32RN9yp0dmLjGANGR87g
GRu22cfMNJdaD0q5NI5+iQ7DRIHf2yNUFOtIdBEBsl1xiSZuE0beUcbaRkzaNZLOe28qHxzWKn5Y
s6DxoXnTXE3lPiOcNtY0OofY2jt+/KGZhqVm6+i/8ssOgD+E9EvckQx43ZE5ykzjQ7pmEt07sKY1
3tE6b4ZPQdKewoBTvrE+WhGbt7Y9lKGLsCa46O36MozjywCNC9LLZRRXlx3IWkvUJwaHD+j+djEA
8gDhsJaJc2qkl1Rl675DwirnVaz3yNLkVRx3p2iYlr3wtzYkYBDsl42J0iT4ImHKrwvwwEDdu8Mc
+M/hADzbtR/StN9rMlj1jryJo3mrYY4pqnnhVs3tJCcYS2NyjhwPJxts/9S9d2Sxmyd5U/jtp9Ic
Ub+Wl3FYH3u32DlzdyiaadfVQL+i6ouXVpcUMaCWlebCvvFiNEy+Vu1aD6WJnQ+EtSL8MSbGXWH2
bAn7JqjcZZzgBea2de609hiZhO5G/b6ZwTN72k0ajHtDDz/YxcTmwFq7JQqCGip1qPjncajXSzXZ
QhwyYHKpQfRPXbgSifvs9Swaqnrc+hUSjmisGHWy4iuG8VNJFR8tmobN61pOwcCiU/pNukuDMt63
AhjV2Z7nEc0MwHBr2zdo2AODlUGv1NJKNi3qLlfN5E0m2upQuqTDSyWzJpjeOo3O3K/6yQAXNQI1
YQ1rgg6Z0xvTMLfE11Opod5OS4gyoOv8NW9pXpbmPC8NJfdOK69et0oC3nmIwUmVcFCpTLeJPdUr
OBQjKg0328xKRk4ZZS4GlOUg3vQ10sWJWbV5nfgTyMj0y6Dk6IFm3mno04VvrdANn2fT2djo19Gb
DewcGY4jbkeUePJRw2lMh9NTo0Tw/Fvk8BW7XwuFfKKU8qL4MCjpfNXLFgw0cnqmkuDhK/tTRE7H
Qlei+0rW3UrawWWicgO8MX0JNNTSvY0Zpley/cz0X3HUfywn895B18/rj9E/63I5KdE/MqloESsj
gFMiboTmByAdN2OFW8Dyk3OPewDa1gd7nL7gSz6kuAtsERMMr8HUx3eQzFC1i7y+ZNFabwplTjCV
TUHgVyirmEBx4GlrM+6tVWdbDAiM8nFIZz7lunjRhHLfjYNiukflJs3Gfajl21RnHBzM/dMsEErC
wz4nuvcp7sdPo903i2Ys+N56LsJ1hq9enMOgY0dv1kQbVDnjd8vchsJ8bCHXE+WrHI2w9SJSnTs3
eZwiGESBZn9OQtKv3QAzRNd+0rpmJU13Wo6hTnBM+GAhTV9OEPZms8PigTYI94WJA7ZBeNZUdzHL
lpWeTtOaaBGW2WH4aClNVliFHt8vawOQESdWMHCJJtkEdo7Lshl8aNqW9QVkwLjtw0jBiijJs4SM
rKLeE1Lg8tr6A5CV81jgzZ/mjmBgaz/EOviU/kOp64d28And0IIAC9/EJkQfj1ms3w5Re+GU8Z0x
efqCDJtV2aT9wrcHa+WO2jEBabcop+y+iW3Mf6yHVrlX5d1tHGflphlkFEOtCNmogElaamkf721c
CnHe24tS97UtmSqk0Jeo24jDE5uxMwFfTYgdJPt3Y8yvSYL8vSn7bxcj21dxia9I/lh8/H9di1Aa
/LoWOT1Dv/lJJcID/6hEQJoin8I77tk+CvS3YxoUOKbBXNcLwBn9MF/2fmOGbMJTUZ2uQ839thJh
tkPn6/yXxjSkuvumYyL/8sz302V0zV1duOjPdHHVRPaaaPvVmw/l9+LnLeOcV/quY2c+TqHj8A6V
E/5dTewOXmZ1XtedpZ0eEu+Dpp8DAh/snRFeDT071vWvn898J0RS7dGPz6he0ZtOzGQ/mTBF7qCq
E7bsTxG4sUkKE5ttJOT10Aj/0Ldozd0M46l0ET1PNZzNMXRw1rYeVq3S/Tgyddq7FvumqSaGyJAC
O6cfHx2Rfyh9M1tWjY6VOPsSjNojMTBXwjBtXEU4jdKoUc7knM22GbOtzTW8Y1ESkWbjbiVYlw2q
fmsTVYnYhqgJlwkm04XXdBbdlU6cAJAabfCXVZfc+FR3EHyQ5yf9UatDfkspISAhSt4aAJc9gbhz
h+sQtiqiWWsnhHHV4zxlrbEvdfboWRpdCNzfqLzvG43teF9+7GfravTiXQ+Qcm20cpu09tau/EMM
EWYRu7BYtKoBURJPJ0LR51sPSSNnusPE+1bUsbtzmbWkZJfsagKh2uv56/ClK5pRnHNmCi3L4Muy
mJnYy3YmYsOq2ZL5Rxf5FXk2R9be+zFDihWERNRkl9PsPuCIAqjBNJnICmvTmMln29Ffck0468Gx
T2Nlww+xVn1WHdtwQEo67ScrudIx+ZdhzaB9OmJ8O3Z+I1btXOjLyBkuZK8/1JB0bRtpQ1HO907O
XCQspuwy6cqrMmuhiKIomrODLjJvMVYu3p0WaE09+vBSeqw8NjRo1On3CM5YfGt6tDGLChhfN7Tb
PDTltQ9I75hPAgSbb17kBbf34WzH/o3sgHkZiOJIuyE7mWCQME+uulK7HXp8z+wsF2LM134SsI1s
X7yYHaLhptcmcJOgKzoc1wahQ2qiM123nWAEzwzSRUY9NP0GTfsKhTLWd30lhEA5al8VYV0vh5Ht
eJtn/c04xTduaOzhLKz8yn9EqrocPach6ERjdoAqt0QBAvtrCwURiRvTKvD7RKT0rzoK27JzV7Vt
EEDhBcRIEbkGtmjtagNi2+gqTvqT7aRwQIvtqDvr3CuX3RheSCl2jcPyEyKRI7VLWMork60sl+31
hCYC0QcVn2WHG5x+H+xGwoyAiF8rGW3p5NMuGyDwNjk+OAoCBGTaIZPzHdsOPJV5SxUlbtNeX1G6
87XGAEjgkvkcdOlz6vknUefpgiSQbMkWe1qEEryTE/b+7usx889ND3bXr2967fP/WoIYe/7rbU89
9I/bHuhQ7nssQVXWJIqtNw04iwtwKkhFHZSiplpcfJd9eb+xiHXVEgJPFk462vbvDbj7G/pWyyQu
g+8JQ5b/yB0Mf+WH29LXDpz9iI64zHF4NvUi3t4kPCMy8rxxxNn0G9gASrxDchuF4ggN0RwjYz+E
2SZH61MWJUtRGqGnAh1Qwb7eR0Yg0Ad57NlSRzvPWrjW6cdIuPHEMVeiIi6tDxMqIz+osLhLZXnV
2nWPEulbIFA7U8YrgZJIvesxAsW3QG1e6WtCZshI8Z1BXxujfgkCuke6YPfbOIxBLQIYo9BriS4z
gvWcNtXCiIh7IXFxDkGlsfURu84dipUWwtyj6ycPCrYmRnlnFY/tuOp7/b432pUHRmIwW0n/ZGfK
1EwqYeN8JgYwXlYFP7cOQKV0Pe5Zan9G+2X6OcC2vJ5CAbC7iBVjOt5z5oT7vOJkYKKxFiXMLV1Y
+YXjaMORwEIUXn1RLu0mvUcRmi20vCU8PkrPGH+XTjqBZZnRabjdXZPULpvj+t71onNVo5dCK3S0
R1gSVh2qmr3sVqWWV8vBpscNlI04q7tTVaWwzieRb+ZewwLrHJzS/FCkPZM3tZIYGIbPg7HzLJxV
U5a89DSkUTlfzmbR01BCwe7S5jFXXoJOKNRydexiH58AYB/W6d1Sm5mLiIyFhhSpBfkwRaBvuvu0
da+zcIoX1iCHlTlH69ou/M2gic+1CXCGvhZW5bC2aw0QWQHiOjlTllxYFu4/QmEv6p7vTNjJqzpx
24VPutFS76dubePfkWW0lGm3rWvr5Dkxk5NAaMuaZEpku+Uqq7Rtk2oMf4U8zUit+e1hw+t898Z0
zVNQ5SqnjTBsu7C9pYkBkXHKnCxyu2VKnOkEQgzhWrKaGMFjb/q0PEV2+HGq+2mTa/42kpa7clr9
g12jxbZqj0yPdDXVrQs8LbqOBuNojGowMdI1By+NO6A07CWfoXT3ELOMBUOrY9vJcyJkrQHF8vL5
dRrzbOfRGAZZ9SGDrLVk/X0hVatddll1SNvgSWTIhpzmxa8mhNTlopqjDfUYiq/hELTaptHNC5HH
l4kQhzGVl6XIr/qSSDYw8Lifw27Yu6HzZXa1jkpssOxt0oUeqvOyn29Ndz5FNZWNgZ9xg+kY0pnl
8rz2lmZ6O6h6CEjqbqBAapwnqeqlogvuS+7UIPAvGgUwK1qHVs9aREDLMLcwj6AznJzumsOO7hEM
HwxseK+kgYcUbJZsj0hP8A767YWgpPMMT9EFbmeQOmS2UfXFqv4zG8yfduGVeOIMCiBVJ1oUjLmq
HGtVQ5qqmhSqrtQ6vjmkkKLAUFVnQfnpU4Z6dvlFUJYWqj61KVRnpPWOAf1tVDWso6pZvQm9BYOp
Tz7qhyPhBSfSnDgmdP0KRyAXg1cb58HKX63ZG9f6PLx2EjRU4Y431jBVe6vsPxqi2NS2/jgl3gly
0SaQrBsLKualb0t7i2rwoURwwCyFe7g/0UQT+1Q1V0GSX+hIJ2dVxjh1eJlCSF0lbrYT0PrxzDj3
PsMqnrlfWoF9Z+iOuY0dUEBzbVSoKNNxXWvmaeQyuPJEcENBuhtzGz5N3hcLjywns0qJWBYwSxyv
XfFeEyArpKoGhL3GNXScdgJTgzV0jajjSxR8TirvRrbWTcZnwn2ALMKozKme/CsADRudEDyOsMxe
MDIAgjUPaOz7dBvXNfPDNKezaEHE8+N8H1SL40SH3IkuY5RwaC2S/sLWjHLNL3TaOeZ4M5Yo7YoK
xY1IMOf7eOOI+uKybaL9SIRpqCGtgC+MywNdivcR3WdC+i05WSPzgAjbmRbXt2YCsQqSLJNSt1uP
DMsWQSQ/ZyaGT01aWwTxqFjqmkByBhcM+W47Zzzaukzx0tfbDjS/k1WXg8CdWBkDgbLjjT6JNeG7
0wYp0oWogx04++EunqduM3TmaxYwsJKed13EHhZhpXD9p576utBQC9BfDBGQoSaT6H5STPG4N8UU
WgrDsFhc/A5N+WObYcGSo45RMguLEDHa69+LKZvBg466XVe4FVKaVXX2ezFlsx1RhRfWd5QgX9cj
79YXv1pnQGh5X0zhbA9wtqNPw2Lv4Jb/oZgyuIeBB3XF1djo3qbssa/alU0KrT2AVGQY108gSWBR
6HBPHf1CzwujJDXSy8jQ1cVjUoTyBDmTr5hl1bdp59o7Z+zk5ZCF1UvVhsXWy2F/x7mHdpSLCcYa
PZZF66ONV7Ip2nOdpvaTprvtxghhwSzD0IAsWoblZcZk9cXX4hvuPhgHDUM7mFE8bGdsSvetPzlP
ee81tzgpu1MrY4+VR4niyeu0bGM4IFGsTqeBs6T5Kpwuf3T0vNxFDjuDsgrlcw8aZ41uGDp2Ewxb
Lx3IpIz76nogiC5HCcxtJqpWPcph9MUaVs7PpKvG9oVB4Ng0blqRdVtjbjvt1Y6CNL5E1YqLuA5l
2Zy9uGJuFxljfBunAcOMoZPwKlpOSCiogSZcuGg2GCvSogffY/PcV9j3Qd/myYWrlbgG8DVNn1J8
5Sjz0ekHzDme3CG3npELOmKhQd3YcI44h6ljpN4OYn5WJTOlKfF0F2S+4OqJjGAbVn30iYo9WWJJ
nZ9DGc+vbjI+Nlq9KaPkoCliW2G4/XJwkARr1RDhbDS6aZtNPtg4JBPHTIzMsNsA3sFYCAwIyRAl
G1m02H8phoh7yeoH20vyfR4Y91ZWx7tKq6dFrA/9wmGiDwpOurd+XGHu1YgAwFThXmK50leFKQKd
89sRd6HUGUP2efBJg5J6sHJkbtVYnLF1aaum7Rnqapoc10Ne1+2K9GIWNZqQe4z+5Q1wETYaOuTf
CJ71ag689H4MM5zRqZ2epIYS0QhhpAwzSneZzeJp7kbtgi8vw2evHM4Mf8JHIquG+zJtiHAVI8Mc
ohiv4h44V4moNF+Vtt3LhZRknPYoAfHbjo5cMTUikSdiF7Mze/M1cClacuTg42BdE6mKQ1sXrvFa
iWre1KqFDipJqveAg+Kfs/jbWczB9IuzmIAielscbT85jdWq+lm2//6XRpwaC2T4nWjr6EbhXv/Q
2loGBh4Uu76P9I5H/dnaMnJDZRwQZsY8Vx3Ub1pbGlLTp/DT6VT/M+EdUoL3pzExZjhBXZf+mk2y
Mp++bW2BXws38n3FsE7EhhCaBkQlKKR8LB+SxoLEmDKWkiZ0ohyIMSFC7b52jC89TcpCFMVwIA+V
szXOUqzM3S4S0Rr+qAPjiRmoKDu8L+BBUy/9NIQNRiAMlEwVUdDnwCTXnsoc1qopuIrr4t5pcIvU
gwXcmJhisknv2YuBykseiNS9oyUqz57yxQjlkOmUV0YfjeRQYJ8JbfKhsiC4pjPiwKAKwbjUbSKT
wqSkQmHifpFW47TRx3LNBX1D00iaDkVNrtWARKia7HrrqLKnp/4pOORjVRCBDDlJVSJFrbXNiK0E
Fio/T6qMElHUrz1VWlnUWARk3MIR2nC+EvxLWqlsmmTfU5cZRuwxZhsue5XD6s8RuBBVx40kwKrK
bszgmuaNImzNN+HX6k/VgZ6qCPMEL09BkUhaziFQVSMhpOuZMjJV9WSiKkvKw+2gas1aVZ2aqj9J
jySda7Y2HaWppWpUi2IVdzjqP8pXdqQ3Qr6YFLUeP65TVW6i6t3YkM8xXiVQWdTCNkVxqqpjS9XJ
pPotkG2jLFM1tEsx7VNUI60TV3VhnGpVb+uq8k5UDc5KwtzOpnlnq/o864OVT8FOQF9woC9lQU4t
71LU66q6JzpqQyzyhRTtFZDjVZvrWyKMN0L1BYaTPASqUyhVzxCq7iGgjZhpJ6Z6emSruqFd+2ir
fqOw+hsaSwajtCI887geaU561aXADUIQZ0xXECIgjtHKBKqn6a3mk6G6HKIUTHaKDPNjrfCAbKDS
Xk+lBHI7bxw1/Gf5Vl1GveYdKrUaGL9uCbyvGwOrQtDnuD6NqD8cescii8PbNNW4U6roybFgnoXN
U2BjhrGnktl+xVOwt2U/vGuGSS47h4/Yj8KtVsTzvVUJY2GbqCesyrv1a/eiNabXPK4BFWTOTR7G
0YU79+u5IOEiRmsA04D9tT2zyYtf0rkKWMR7LyixIHUAAscKQN6mMOR1Wws+4uYUMmFfec1QHYTH
gAFQDxlk9joSaCrCyMf3N048YiT2rByiaZMa4Ze8Cq9ygqqBQ7Y6i+SOnKgO0Vo45xe1WerrWXfr
XdTNgEJ78HLlYUhNVO2h+ZRWrD1dt22Psa3pJwtd6Kuuh9md0O1ql/c+wAojjwmZ+ufu9O3uRFn9
i7tTzO3nZ0NXHvXmzkR+LSUKEwY98FRe05s+QUe3BIMKzdG38IbvfYLxG9hFbkrq9sTSUecH/tkn
4HCzXBWg+Ds86z/oE5y/akPJj+BFcId0UFn5AbfHt3cmUz15ldc5EYceFF2bbb9hDx+wuRL3Vmvn
Kmb7Rct7ynJz5JwmY2yKiKGbEYaAuX1lenICi3rHGgPyjoGudbICCCERJ7dv7fy827htuC5GYzcw
3iqIHkRLWKzIRX6STrsks4Zp3RhTbzEN8NITqdiv8KLWA0KaViP4ZDIqjj37Mz3VNpqAo1pSQNRN
im6XVs2uCQJARRFQJGczE4kOmo6AF6cnPVzce6wzBzPullNjJ0iDzeccWbqp648olJyNF4bdsoLJ
uG2InVnCcwDi6MoDqqt+44fVRWtqu8BK11mc3pIHVYEVZHrYV+N1idV2If1qM7gqfIYXd2F5SL1m
f+DCLOmlON/OgZW/mElcbSeT8j2JGPtoU3jX5ILLvBtXejloHCbpKbNJlk8w56/LvsqXILxRIo9w
tLzJXxPbcIidtlxFQ37PIE7DQV8yqhDXMTyyRekHB6w7yFic9hSU5l3N1I3x+TU7TG3dzXQcUzGg
Q/C/0JsNRNiV12PMTB0O21OaGjeTrDiXQuEx4LCK5eRad3ORPGVlvRpyznN8hFg1k+TIzP4irfUv
JES5u3QecRIm3bSOpYsDKLSuAbk9xCmvPwIRhjQOi45LNnnnCvqI0rLxjKKSSzPkXflqiMBZJTJh
XGMwqyaHIdERiE9hUFLRxI9wM2/GhjRH4dNxzRZR5ZGXLeqS9KN2ItdqSHkckN6A+U1mbwvRnYXw
H0gh4fcuGRsbYw3ErXoyuuQIuOXYJOTNa5HhLx2XG6Ntlkxp5GQuC80iNKetiLQQl+AgjjVGI0oW
FBqRTC71VDzVaZ1s6hxrcZc0qxGasTvwQoeeysHI+11t6FemKZeVMyiKAwSKqNvLsrrvtH4rZInn
UGwwiBMnVCTwQmUfAMsdmDbmMesIvX8E0ESLhFgwHbdDUk2rtKzzRemKsz7xribvSrBeXmZBf+tn
+abVD/V82fan8P+ydx7NbWRZFv4rFbNPRnqzmIkYeIBWpCiStckAXXrv89fP92hUkgjVdA24wEQ0
etHdpPiQeHjm3nPPPQdRoUF21l6fnitGeqG27io2MKVvTDh0Aw3GInRscJ2mWjkCilNcMYlvWKCB
OzUl36WwgGR0yqBpYuRTdPsSEH0KjYncPvtRH836RLPmqqj2aVF130OS6TIbLl3frDPyLxBzx1kq
qbH2lcKYjTTOAnJRCp7YqdMvJaknXO01d5pZfrdwJBsslS51r/exWCOTg/+kowlX64vGjx4zrb2l
+e2BhDqcZxW9pp7WXQwNRQWUKWAX1cghcRy12tRoUhWFKi+ujzl7CNvsHAywLyCcpUm9NlIKpAut
QbfjGttJ2176yLsuGx3mmdcVqTLpLSSF0NT0emVup5KO1GmravYK5umQTzB/GYMzWn2H5sqRE6W+
6pxS0o6bvsmOO4OG8tty1NX2PKrzVeYR/OUhlelMj3SkmgxvUsjjVim9y4qufjS8+o2up82ilEoY
f5J5bFg9Lf62rk+a2HxAjqqi0G3S9hrqt5Fk2lO/bVFJJfXdaBmLOUptWjgAkMC2sz9zV9/SZ4+4
kU0ngjYWzxDvQGnpugda79SJjKPOpKyR6hyi/nTIq1kfOOGCQsWpnpZfJLc5TuzsT7ByepY1gmdY
URUlLmB0I55WWr/xBxJvpNwdK98GUYZ6PUoMtWr4cwqCRHN1dyWr4ZlbOSdSONzFvvo8KjKjeMZz
1CbQroKZNG7UoUfr2ijnrldeRqKcJ/so4Peznu5r3zqVo1ieOX227bxx7dMBjCNgb04LenTxQ03O
TEto7BsOmYgkfaHIqc46yxghGDSnozzAxujdKbOQr6yU+kSVyfVS01vOdhRuLSewcLyDaJu60tc6
mo2Gd6OWqBfYeoihh0ROZUdOx5sDiwmxcm10IA2iUYw5Z+BNOzxUzpM+7+Zodp3kdq1ObBvWoKdY
50GXnoIKo/CLJKGT0u6UVMRm9dZ0umGuttHVQOZDBEl25jpcIDSJX7tNU82aLr2hYrkJpYhnbMbb
pnD8BbtOZw2g/UjnqTQts/qpcpxrDuiFnNNXk/j1RPW0lRZm11jvLaUAGTX8SNfkcxctXE/HyO4D
LroJie2ZLtfHusG+w1DAhbSslPislWtParkS6s6boL4RTvwoWjvGYE9aD6lLWy2WlRF000CvzqOg
uSASWaRq/a1NoDeC/6DbrLIAG72fR3LSzlGQLqgeudZS8vitRaoyM6N2mUqSsjSpj6zBxpwpQkTn
MkY0E/QPN01KKliY1Beq/jpGnGA+ZFyCHFkLKRi9pdQpxzHaxVPgF8qw7DTQKvXCVNCalCpY1nUq
J+tRxU2yBVbEEKBwp6GlrXU9uPCbEEpT5i2gOiMeF7gccEa3GhOVLWHYFyqCOpBa4SGaWf9AG9KN
ZhSo71oPo6499Ka8AMS5zSLvFt1ac1ZjzOwm+a2c2StNB5WEUKKF0lRTMX2SYwTQym4rVAkbC4Qo
QgupCb4AVMFirOWrVBeHuGRA/C396b/D7tewm3aXvwm7g6dyJ9eBv/oedgt/GJrIkawx3toGvofd
iKQj+WYRYSIL8EKDeAeEnCN6x21Q8zfongHfASHniN4DaHkWNDBVFwyJfxB271BC1xFih34HHoTl
DO2YP4fdo+YnvpoFgO82Mv1uMoZzU/kz8x6xVxzxVp2UOCsGwmIxwHzypMv5eYkJiamk502RL0x8
GWP8GYnEprIwbKwi/zYtjWUB6KClNoqNFKAr6w5nONq78Xwc8X6sDasiooEIpHrNdd6nX+nNQ6HG
kfHNwjhrJgf5nYubpGmox8aANCEuk6NPoo/rpKpLxTTpa0JRymc9xpTRGKwqyIqTEM9KBB1XnTCx
1KNaMNnuUN24HnG5dMLiFknfBP1l9Vni1CvK5luEhMxExyGzdKTFiGNm4BBj8smWuYPTKqEVRe3a
nGguN56F42YNSZ04GJeXVF9aeHKWVYsRCC6dRUdiItRE1mODhWfn6sehHCOZ3UkrLCWAaXDNoa98
WGZ6v1YV4QRqXnZ5c4m4bHkd4xUaC9NQs7A3ni/fyCjiUgFB7UvuT7EMw9LMs6S5gfdo3aKE3eNG
quNKiggY8pH4lA7KY4Vrqec21wMsEeQ8AejJA/6MhMVpDFsgtvQnzQKCcQzl+qWHv5PRj5TgW9XC
KhW3IBOQbViFuKjadjfPqaw0FXPmCaPV7tV0NXpxYK17RBfnrhVmy9oIjP4Yu7qBsk4u1+vMhnVS
WyhYKmodolqbySVxW6DT5V5VRMrbuC06WBKGWnNGy30y6akg61Og+nIG4kQVlDIq1yZWME0BKJNp
D6lfFhO4K+pM0yVY6mrG/+rkWTdWD6bbUMeNimeBfRK6w0eAYgitGcqzZ0SX1pgPx5ZmnUm+ilqk
mjMG6gQ4mN3GvX6X2j3apX17BUDjQ+DOCcoL4zHMq2dChqexhi3WWvE3z9RZCijIyC3OalGlHpep
FMwxYdHmutFiNqR5M82JVrpf3tmRUS8QqonnhmvfDTVl31w3sYGzukfIgEJJCmuxISFvSIPKnsqh
453GnnTmUXWapZ63SWkH0HvgnIT1AukDmPTYTNNlmOVfWo3clJj4OtfRTTAxRY8JoFGHA9qUzRtX
aNgZ/MRWuhtvLL4EbjwddKlCVPguNQyaVwYpO0YWYgxmDIXKtBXNJBib4DaE5JJfTeOyR1GlM2E2
+sUlDgDeOvJ9oQV8BoN+06f5swn0iS9sSzJLF1L58O975eVeMagL/P5egc+EdtrwsdIg/uz7xaIe
UfdF+hrSJZeH6OP/frFoRyZi4S+KJaKh/C8wB/KzY1kKTc+asNH48Vbh57Rv00JD/xn6AP/kVkFO
g1vjpx42+q+pIMOC4r94FN7pRzCHRKU3i6JKLlIl1/XTSm24SYYm4EiDs9mpDjF3y7FJA8MDxb0/
x2z0l0jsXukIEE40635oEUzMG29VwjQr8iDFBMiI6UCxzuRaKchNaSnKcrqaMMnDusEb/IWam7Bi
c+9MktxINM/U09DNzquhfpTMKJ8YTveo51I29zMAWAft3swOjnudPmvNCU+lvLgo5cyYZVjr0ath
trMaqBPgo6TPBX3vsinvW2q2eDJiMa3a91KvLHy8ymjb8VaWVZ/ho0luFLHrjKK762zpOq6HeBpG
ypVm1LceIcISSy97qWiaee5R/MeHCUMx+lrLuTJ4W3ZjRtDb0vaBUnVAG28mwjbC6CtY08XEJ6Lr
VXmTyMaTXidLjYiv0oNjsONoWkrStCcmxKKMf+2sErm8xX5tnfVk0Dim3WZEk054r3Uwbggwiecf
SrU6L8fgxiAAjXQ7mdHpS0xqmBe4msBYIlxN/EACk6B1eZSwQocmd1UF2lmTS2fjS7QrB9h0iAjY
KOxkHSpUoQ0RH3O1XEhGB1hcIQhtSJRFyG6PQx9ELxQRduGh/lQ08twm+DYrau8d/e1YFG3sjHRT
dpLzfNDpB48KmsTzVF2SK6AOSVxfCrnhHBfiZWT55SwU8b/Zuv3cEDkBTDri/0FF1Kr75pI24BZ1
YcoNnQwpHYqSUyxLgJNeVYWDZrRWDeiWvchD9G4cJiapCXYV5bRUJXfJRnOnHapyqACd+SKj6evy
PsQYhO6lC4Ts115I7mOq4RJjreuk1leO0qfYwZvXdSiAH+8blY4nU+RR0aiSUYncqhVZFl4nt2mI
9pin4g5m5TeSyMjiqruWRI7Gn1L9EXmbJhI4SUVKTsVpSlGy56SCFx1k+SnqvOeRThdYPfQkhGSG
DZpr814ki1aH7I0UljaFnQAJOuE1XzcgUlrZb2sXMwwKMpCqRBKqReFNg2VTHFxTPYpZgaSr7LUZ
BWlcMGurXqa4mE2MjhJ+r6juVEPLDaMwcnhcmZIw0GYjWTElIp9KSjHOLDLmIFVTxAlIooOXdJq8
2iW/jnrq8qy1K13bSMNzJBO8SeTkmJ3NNZGk+741t5Hho0P2mY5cKJeW/lyO8p1Dii938VmOXZwq
cn9o5P7cHLjBhqS49JtqG+vITwTDGmWejd44aJe9YAk9lDi8r6elPTyrVfmnJzXHXVZ/iYEh6hb/
1iCtZyMAheZAjlQEZoFKoToJsaIiNAXRKOv6OZeShDi2EzVTaxsU5Z9oncik+uDJqsBGUE/CfqQR
EIYh2fB+YfoqToEGE+ICLfBKDeQOlV8NZhzIx5XAYLwKi1l/bDe1wGdUgBrT77eIkKN/LzCcuqji
eS5wnUovVmYC9R5nBBRP+6vaKNDcFnySnsoQbZUIwKVGyabL2BK2iQUZxg1Z755lwrtPb9x+akne
levq51nuXDmuvtL6wZ6aIGQIWMeXbk7dC+GRhVfb8S2NZRgedTSYYKcELis2thHeIH1V417YRQuO
VfpyVf++T6GcNHqwwE5mw4F+OegZeCTkXzrzmi+QftRJYBi00wr8C8X2aVtpOnU0aBl2uvFdU59G
RUzrcfslMLAQU0GT3ECjXzYrlTl2wPxt214ZeP6txrS5h3ILToKzzURNVR/3mQJv1lF6dnRQb9Rg
gyU0mC+Y1dybGnu7iC0bEqWwVOyJdaHYpGcy/nCTMituUaQSyA3gTDLgW6ehwjHx6dTGM15dGnkq
L8JArhc4yd7ji3aD45w+7dx0gYFbOUGKkfaUKimnnaZhKt/TBwLJijltA3MNUo98k04llfZPNg2K
HI3eXvtD9KXjTpzWIU2UgQEigVith7jewHKzicaaUKAUgtyUSyPdp5BMkPnI4C3jzejJ2NZIkXmN
jvCSTtJHIzMu0PJ86iEvIpMb3lJ/g0INBwe2YXqiaGaBkOl4yv2PgpWVrmRFWddxXlKiVJt5JMhW
9EfE62osrjWVjR+n2o1ED2wd1I9dES8cN7zmspePAxNAmvt/XQXeOXK+XxHQW2lS1U3Q4OtpT4Yr
PcDvcqmMWimN0pmgfVEEbGcIvj4EfSbNkhLZlULwVYbMvlQwO54bhk+r4kjFPs/RB2vjxl3L5bA1
JRZD7bfqApcO/OIA321X2gSety3pSfNwX6CrI6fPGKH11MovsojuDzg/3lxSjIccmckFjbh3ukw/
aViYF3Jjfst0E95S3K9GT3sO5c7ijEViUFVLf273KY6DVixU/ivENbOB5ReitKwEg4NLs3JnVu0Z
5PhgTncTYsYSp7Y/EPuHFkVcUwq3cqqe0hXqT+vADeFm58eB4PjQfrocRlqFG82gZVmOViEMyynO
htx3IkMoVDedZoIdROXt0fckgGDbKxcw0+VplrTtLJNpRo0AJAfJvMGbQSE3Q6osKaSvftldU4ai
hhs406yLSd0UqKGNjdVelcFG0P2r2qRh2o3rdeM11TSRnWuQ4AsvRlsVNnI3T3KJRmbgsqmGW0zv
SfEMivhaInISim3ytFOr+9xLhLEq2x6FOEgUtHrJ3VQUDjqSSyk3n01Z+ipRi55ZiSAEONGzJUr5
cE0e2qE8drjJJ4NlPFSttUShDZFWT9m4qZbS0dBiEGtGN16S0Gzbl+rUbsxpKCUYyNzLtndCYKCD
mUrZRGnCTS5EBfImDM/UAInFApFo+LZ3HqJw9K+HX5US8I1uv0srobqgIsOoO91NT8yFbsEIQyLP
0nlRa94UnjaU7qjg42DzBqGuRBcn049tiui2PQiHlyKesu+eTdUCOsZGZ04lbSG3zW3esnX9UvmC
+WA5ZS2camZQCy3OcgJ9/QrA2qBVStEIL3vO6TI97fWSvl1T3yh2/YAPBx44AYJYvc8Z1MjXYxxs
+iH+CtyRzLqKI9WS71tR5rFxBwDTQ3Qgi5uTvCoXqdzbE3mgz5yeEuyxzPDJER3/LU6PoCtPY1Ju
RicNJ145rlU1vUWRfVZDX8tbAIeKKM+KOPr8gpXpO51FC0vAQzbWUu7LZ9MnpLOyHrE9Yr42VKYB
Nj6Nla5dF9w6SreAI/dh3ZzrerFBrVaZ4eq9oBefm1IrkCiyLntfmfcGlrZukV31lbMitQfslTAa
Cy9qKMNwbMCCNXJaV9gLtyf0C64x5pvGhtzSqRwqw7TwLDX6EqejeTugWmCfFRICzV9io87b2SB4
0UYubf6dg77moNTy/yYHbVg7Sfq0Iwnl796TUMURitsKUimqApQp6AHfk1D5iEq+YlqWSpr6I/kY
Ay2d/JPLUzVpT6XH+a88FJ05fkD5H5W5FxryP8lDzV/obq9qSBDeTEWFzYxCkchTf2j3VVqjTCRo
a+ej4W80BZJNmxmTHh/5MQ2zRWsQiIdufKrnMYGMhjJsoyyDvD73G6xy6Gqh/Z8Ku8RxrWy6Kt9G
jX7nVjRbpfVpPyonnqOvRh+EJJKyYepb3h09vF8oBURzM0m2uIeZU90fiokb48o+4gF/nAy0IsSR
X1GArSm9aP5x02T2SYr/jO0L8yTBVh2xoSqd6N4Esddc5cInms9LgzjYCW87pRV1UvPcJvibqQ2I
ZYTixjn17UczywgkKGiiNmERdbeRsqamclLX1lpzk69E10/4/JxWuiP8Yr52uJzAMvOWmdkgFDfC
4mvNcyOzNnEdo/TsG9eaJM3Q6Pyz881F1ZYtAjAEFZ1jX4A20dNKS1sXnYVduMglxWUTQk7DowGK
TyndOKJhLBvzmWyEJ3459hMBxYGR1WsaOikxRiNZtOkkCyl0/uyt5MJomxMdUsFZXnwB91skXLOD
hRGigV+W1l8OIKd9SKezhjWLptDvFku3re7ewH1YmA3pjYPm9EqLk/tgAF2WZG2WAMnCcQrPhpap
Q+j8i9y7xKWRmXwr9DX0NpTcatvLJvQztWeejAoOxltw8cxuOjTtlQ8Izf/GnhMHoVldpN8aHsPF
LngaBVzSepctjUBmbmxlyhVNAxffQxji5h3KdjzLBpta1aBdBjYV28591IscVzbT/Kpn5qVElWAq
1eaJg2k4cIDlw7wg8Q9K/1LCcMygC4nucmLvvgi/IuX3AFo/S92EnovoMUzLb56DdoWpGgSGfKhV
7iodOKaLRF3We1MIIQtNF7Q/C7u2LIhon20gMAtZmmgJBLyKVC2ep01PrRBqhG0Y+Uw3UdCQrfw2
y5K5g12VULb2p0VMQgCjAvyyV+jVraB5ShB7JmPPFYkMaX4KSfK6GCMyiYaIW+YKzAIc4Wgmsun3
TptJXGbHMu3NJxAm8I2qbgPTOkEl4DJts2BqBVhcSMo4LpOUCD91S2r1A3ce5MQ/87S4slu+eKPz
ZoMxnsmNi5+3pMy01kAix75sOnfVadT1FNddW5FkTwwWPYqD9qIfEZkvFaAf1YuqSd7RzB0W6NFI
47Cl07Kakk0SgjOjkxpDYXD2mRyZYDOI8ygxTXr4qCyRTEnmQ3SJ2zem8aTy3riVomFbt+ZXr2+/
RjH9O719geISncYeFLtOJb5DIfEbdHdC2diaC5tlf2jNDc4T3SRXaoOvnVoutPwt3+uw0StjnuU5
RVgAtpkq6U9qX53GsnTay3U6R7QmncvDuKVzbzXktTHNTPq+ZAswmFqlNRlKgnC16K4Sq8umRVUr
S1f1nKmqkWZ1bZzOuoYVyM+f1RgwezBidxLpRMh2LF2CyjxVCUtCN5OAyMO6zsvirIppElMV/SnP
5XML74AqJFeS1Fifpx0K76YSLpCVL09cRV72qc63zYwfFykfGhIPLZV1eqfjcrogW4ZFFNhYJrQE
bPHgrVxIKatMGbaFifaBw9FIfL0oUG2Z+r5+Otb+eSUsuhHLgNsVaFcY83bQeOGjVvIyLPWv+chZ
mSlXileo02yEXCxn1tbz8k1u+huVDzfrAlB/Q26ukXlXplSYinkcgjWVBos6qty71hzvyhocodK9
lRdLWE4rjZCHiiZ63VzlNnYOZcT3q0m04oK/TTuYjxMvARIqQdg55TPfOeegW1KEpi9Pr76irPMt
UuubskBUKI6aG90Z5ZWidgoIgAqgXoUYv9m+MR18SCaZR1sD0kjrsgqvUlNbjjlCW26k3HURnAgn
DtEzdUKsXCLB1TVR41e/teaXrtqM7m0HGuhrX0CVJsB43wibrwMt4atJ6yXq+2dqDvqZx0q1kkPz
SeGgnyvIUpKosrWBX1eSQSRomWMwj62Asp+uzzKnO6ny+LJ11JWFEvSkD4b5OChX9CMc+9kwwihr
bqwazEMu6k1Rn7Um3CgDiQnP8i4QoghmceYES7UoEQwogxtlGJf0WIcnQEfKApfdU2ewpAUdrtEC
t4RwMgKRomhAXm24QufS22BvhPQfZvFUATMPQAXHDHUFXe0JfUX/tEtrGouI3w3rJsygmWGNKxr8
inE4U0Abpn7F92yhJrHy7HoeQDmCV15t3Hp0zhXo6+fyKI0rt6r1NVLyZ3Hp2/YWhs6wHHs6wP3c
LuZcHiFtMt4iMZRTNTfWnEYb02Xp2DpoaQ0OJpW69i2wck6ItgBQrKQVYfUZhTpvlfrykzbIT3R4
3nPlQCn0+9UgkwzbFlmWzEfnGStNyWZRH+PLEwG3ef5SlUN83VwEQDEpuvX7pF0OSh3Ou8KfF6iP
kLXiWt9KwtPRPPaY7PweWpaiu5fQIVaS1KkoI1jnWg49JWgSZQrP5Zrp5xZX4id6Jzet6lmLHEmw
sjKXoV1RdKJlZZH2cgRnURb+zAgHKUV3m9Y9tJj4ytCHmRkb1ziKXAxFCBo0RutONxdlQNct+wRM
rF8odY51hP7A4XpRO106xagZQwSzuISwv+CAU5adLuguCu26Pp3R1ojDpAm1BYvrc8uh8Ba5PlJV
TjTMy55KLOd+PPPN0ac0jflDj2BVbuLtHGTqdsS+mO5lWq1IcCaYTZ0R5N6WZX7SW7FF/izNFdyU
jc6+42oBqFIvy6I9ZueuLBV1j6Lzr3M6UOF3xaedwlUbKSeBWx+7cXZj5Motjf/cEal1U6n9adaT
2iJqCjyOEDCqqd63ZMCCSZHi9RhsSr08BWha5J0KlhPYX3wDrydTMq+bvD0de7yv0+A+1o1NEYG3
VtpwApG1WQ3lQOLYm6eJYsPuSzgIJVwqjQDUz9BXUUYZXh6Pm1LT0DGhX9wczZuwS5ILDf9CnGJs
aSJ10LFaH4Y4SniiLV4Fnk/SYZpXlg5ptlxVugqMLof3VkcMY/fNhZXTH+qUbbb0nKo6SQqUagqt
w7LVsjmU3GUUu9LSIacm5nRrNpcR26P+1aylDf16ydL0s7VDtEWdP9dCtN8xEw/+3zC83+Q/dqpb
fm+JFL+9yACKv2YfJDD/pX/0TubYPdA/kssUVm8/JXgvD/Yi2Pm348RbAL3mEUFOjQZSmkNhf9Ob
JF6MGGd07L3+WlKECwJUboKe14LmD3P0u1n4+w/4UUn04zh/+/C/aoaKlHTPSbBFjquSlVIgFS+Y
6T9Ngkqmi+OD6G/9EVrY/Q3+Kx/wX/k3/2gS9Ndv51WE9Ptz/aOVYB1pmo4WmUxqvmsl0PhmUz3W
CdIPYRJ+hC0Mw0HB5R8vAr7lvzaCdaQaukmnND5l4sWE/rQGAEKAQVRK68rr/BzCJLBQP2wHfvaP
Z0Is+L+mwjkyFNY6om2/XQn4pdORLuxKeK/DOxMMSG77TQJN8jSqmDS1vX3dLLCf1oMwYNB0hWmg
h+N1vRzgVIhvcN+p0LgC6BqigRW3UPFCl+nDVIABWqLz/wDnwJCFSOB+y0HDJwj/bwxy0YgWLy6d
n+aAexIEkrar1+k+vC2hvJ7a+9wQzhGkEcjc3BEvL3Fq/BgrsCUcxVCgtR7qNSnvfS4AbaO1gZTv
7w5H7gmLl2FYr4vu8FaCvnfAxOHIx6PNXPtdwKQeaTYbxlYPdiXsfyQ4CNkRE7IUfrsdoHfQP3kY
ARO79UOssH/UiGg+Bz9cOObz58NAZh+88M1fA6pDDRXk/c9F+4jGE8fRcIR7ef2aQ3EuYphtU/t9
zdcO70iQX7fpHpeDrhxZhs43LmZCvD4ECTrbBTNfUz3UKOEtmt1jEjSKpSLigoD7eiT8mkSoGpMA
cQrviQMNleTXB9tnEuwjpJ5p23iLFkUA+uFkoPrLhkDdmtfBngz7oyvmkUWB3EAf5WVPfJgKESzY
CMLYb9HZAZ4M+6cPpJNCrxyl4l8XAueig0qsZhzqkWDsHSqRPMGPh5ug/wZXAFvSbBVDJ/X1vQ5v
CWj7RwkakyAbUN5fj8WP4ArgE+CbihjdgZ6LQkJ4vxSSoBlFf7o5Pu4DkktEjeklfrs7D3UO9l8I
KnAzoiKkka8r4UMabRyhGc2BSUwpXod6NyivJ9Y+1ySS1jLOC7gL/+ZuEKi0Y9L3c6hRo7L/6Wiw
71+QxreTge/7p1iBC1LE1ih+H2rApOyfSJpHfDwANB0Y++X1cRJMfgfcerCTsH/+IB/pYCqoAr0e
DB8ANlGD4dc6unqHejzuHzrr9IurqoYg0+tC+DWTVOwjpPPJuEHhDvp4/IzQmZIckaH1hq78ejKw
HuB9YhggxPsPEnXG+33PkOEln1S4DZ3f4WxCjBIdAbC4A52Et29nn4uSCFroFwDj794UwCtwjDkX
RPH6IFeCtv/JwCQwBTp6EK/n46+BE9VZLInIMpzX/XKogZO6dxxNRsWu51yAjf5+CP4aMzgm2qeY
Wr1fpwe5Kt6AsP22BgaitIabv6vZc6vSesh1ob9P1WFOxd6RJPgjGTbyf6KrQLw+gA3ULJA/1Ikl
D/SUUPePJAkPKDx9Xw4fQFjCaTqeUWsXvreHuRL2h+PNIyznLDQr3y7NHUelSdsHTSOHCjsJjR6+
nX1OBufIQQoCEPYNeeQG+umQJHwilma/aAfB5uGb+LU49VY63GcS2A4OeRWJ028uTTgcpBRCo+lQ
t8P+kQNbnmZF7BneAukd20HYUXMyvsarhwdAqvtj0Db+YS9ExzcUdtckYPaE8ffr7XGox6O2P+5k
U7uHwoAd6etH/XAyiJtU/AdcRrwONZLUXu/xfc4HIDhDFVy33wAvBNVopsmAtoe6Nd5O730mAUhW
IbUAlv3lioDSpMDxgPP0Nj0HekZq++fZGO6+aCIRGr2+fpkKUkwSLxpgtYM9GPZHXAwuQ/RUCAte
b8sdiAuESDQj3s7jw7so3r6dfXbDS3JpQYN+W/MfTkdCBhUWNAojB7od9P2DR12sdgGo/L5sjTYF
7FfITS+vQ52K/W9LU4BPio4ty+sn/fWQ5GSA/MSOOdjoSd8/raSCb8pUqXEIeHl9iJ7kI37JihH9
+LwOdmvsnVwKmhNirpyT7+yWjzcFzjs4nh8sIvsWy+xzSAqYAf6OyLHfv++fk0s2he6wGA42bhJ6
hXtm2PDZWPKa/DvWn8BaHDIKUz5UWFrfP7kUQh/oGtMX87oSPpwML9GlqYPYHuodsX/ghKSJLsNi
wrr65cWt8/N2QAZaWF5riG4eJuqm759hQ33UVJUmureY4cNFqSBZyqlxuDDDB8nWf9xNKSg+lPLJ
pt6ihR3Ro4CbiJsO9Yp8o+LtcztAZ9BQ/iEket0Ov+YRLwejaCV8Y9cdXh4hVIb2vB1oE7Fg9vBl
fzwM+IWlwPj61w+Df2GKvvceT/0gfpyndPhi4vLSAfrabfq//oN3wPnjAD9gsy+tlj/9y69D/vQ6
9iuCK/7/f20f8e6bBVVdBg+1+tIh+MNv3zsGX97p7e/fPuLHN//pzd4/1/sPVwj0b8sHf3j5xfD2
oGfbhN7m/475r8ftr8jya0vcX0/zn//x88P+8NX//ehoEj/9OriIf99/Jj7Y/3XwZPuYle8DrR//
8z9AsNFdFJH13k8+aep614Nzbe099nQbb1u+kup9rB+endhg//HRLKs+fKVMDOHFJwye1iUeoNlO
qzWxk/d+i9lT/MdZVu6cf2Csvcefx3/MspLF8z7WD/PPZbT3+IvyqUp3Dc51v/fgy/gpTd/H+eHB
CU72HnvVJPdZ/Fi/D/XX8ILZu/fw6yR/KoNt/D7UD8N/xpZdI2G7Y+jP2LHHT+WOORdF8r0n5ThI
vR0HgWBM7j32yTbacYaJNopPGLqqnnbNyWds0JOs+uO/U+8pfto1M5+xRU+3jxzA7/Pww0L8jC16
usW5YMfYn7FFxdhIU+14dEEa2vtrPX1KH7OHYNfpJTq/PmH88uHp8X2gv+Zd0Hz2Hzzj2d/H+WHs
z9imp9nOOfmMXcrQ9VP5NOx48s/YqWfbfNdq+Yx9evbUbj/GjjihfcYWPS+3HAE7JuUztuhFvH14
2hE7iqrN3uvwAjWtXcGdYKzsPfhlQOhYBY87Zkb0IO09/tX2oSQlSOsdd6korH/CG6R/TJ5wdtn1
Bp+xVa+24g3KdFs+7jzIhNDFp3yKWfDk7foQn7FrxYdYsAMeguph13t8xvYV77HJtkWz67YSdNxP
maWTJqj+OL8PqnzX5/iMzSw+x+m2fto1/mfsZ8avt39MtuX9dlfMIGqJnzFTvMc03v0On7OxxaeY
ls34/rh/XZH6p2zsv7PfFlDLsEeyf/V3JoP7D15FuAw1OybmU/ZyFm93RQ+i8LP/wiEwSXZc8KJu
sf/g9RbPtXjb7IjD9U/ZugJm2XEPC6x976f/+uRvd02NEL7af/C/dSfbd0V+bTgJdlzxAnne/9H/
XtR+32f/xgM2uw5KUU/c++HvMOF9H+avA0yA0fsP3dzv2EiiQ+l/GXoXLPtd8e0jWPsubLjrz37G
osW/eIiftuV//Q8AAAD//w==</cx:binary>
              </cx:geoCache>
            </cx:geography>
          </cx:layoutPr>
          <cx:valueColors>
            <cx:minColor>
              <a:schemeClr val="tx2">
                <a:lumMod val="25000"/>
                <a:lumOff val="75000"/>
              </a:schemeClr>
            </cx:minColor>
            <cx:maxColor>
              <a:schemeClr val="tx2">
                <a:lumMod val="90000"/>
                <a:lumOff val="10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C6A4-4B90-B347-C03D6899F159}">
          <cx:tx>
            <cx:txData>
              <cx:f>_xlchart.v5.6</cx:f>
              <cx:v>Sum of Amount</cx:v>
            </cx:txData>
          </cx:tx>
          <cx: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dataId val="0"/>
          <cx:layoutPr>
            <cx:geography cultureLanguage="en-US" cultureRegion="IN" attribution="Powered by Bing">
              <cx:geoCache provider="{E9337A44-BEBE-4D9F-B70C-5C5E7DAFC167}">
                <cx:binary>3H1pc9y20u5fcfnzpUIsJIBTJ6fqkJwZ7Yslb/nCGktj7hsArr/+bUqyo1nkUPd6qu47k6RSNtlg
kw/QOxr/vu/+dZ+ulvJdl6W5+td99+f7UOvyX3/8oe7DVbZUR1l0LwtVfNdH90X2R/H9e3S/+uNB
LtsoD/7AJqJ/3IdLqVfd+//8G0YLVsV5cb/UUZHf1CvZf1ipOtXqF9d2Xnq3fMii3IuUltG9Rn++
d5dp9L2QebR8v34N//n+NlwqvXznFnWu+/fvVrmOdH/Xl6s/368Ng9+/+2PzaVucvUuBeV0/ADE1
jyxGbcIJMx9/MEBa5MHzZQNhfEQ4MjnH9o/HXi4zoJzO0SM/y4cHuVIKXuzx/1v0a28B3+K///gN
7sdvMX79AID48/3HPNKrh3e3eqlX6v27SBWPH0v2bjG+6Mfbxy/zxzp+//n3xl/At9r4mxcQb37Y
f7q0juI/IDyHz5MXvx9hYh8xgmzLQkg8/TYQRuKIcQv+QdY6wtM52o3wBv0EhDcoDgzh/6awcB72
sIgJO+Im5Zjb5AlhtgExLGLMMGU2rO4n0fG0ht/A0W6INweYgPEmyYGBfLcKl9keMAZBjZhtmxZ+
ZRmPGBOKqI3woyBH61BP52s30hv0E4DeoDgwnD9EzUqq6GG1B4lNjgQ3LULsJ5VsApRrOhmxI8KY
iRET6yC/iandOG8PMQHqbaIDQ9uptd4H0uLIQrBqTYs+CW6+gTRGR5YFSxrhjeU8maHdKK+TT0B4
neDA0L1d5qNtLethD4vZPhIMxLKJ7Fcgxkcm5tw0xaaB/SauduO8480mgL2D6sAQv1jKqCzUHvQ0
2GKUU8ws/qSGt4W3OBI2ZRwz84c5/tIkewtnuzHfGmEC4ls0B4b3f9MyyvchwPmRLYhlo9cE+Ohc
wc8CJ3tdVU/naDfKG/QTMN6gODSEs+VDIfcgv/kRAccJRDQAuGaFYROgxVgQU+wyuP87maFXAF6n
nwLwOsWBAeyt0neXBUThfj/GFB0xiwKYiL/iP9MjbFIC/vOGA/0mpnbjvD3EBKi3iQ4M7a/1t30o
Z3GEKIJQmHgt2gn2Nmc2h4jourieys9ujNeoJ8C7dv+BIQtR7iW4zkv1+9cx4UdI2BhhcI4ff1vB
bPPI5qYAj2vD1n4TU7sx3h5iAtDbRIeGdpHWezGzBUhkABIsr1egBrfK5MQWdCOq7U7m6BWc1+mn
gLxOcWAIPzmLzlJ+W8p9iGx6RLHJbSZeiXuChW0LDpFPwPrxty6438zebtR3DzMB/N2EBzYHTrJy
JaNlugeRjo+YwNyiBD2tc9DLa1Y4so4sSG5ZEBx/vGEjTvYWznYjvzXCBNC3aA4Mb7eAzOu42PeS
kwY1bo6WOCHsaUVvRUXxESKUWwzBlZfBk7fytRvxnaNMQH0n3YEhP0vfeYUEV3sPS50fMSxsCz8n
MQUkN9aW+uhwC4EA+J1L/U2s7UZ+e4gJsG8THRjmi3SV53vAG5If2ARfbKwsWQca1rfgiBFrw92e
zMlueNfJJ0C7TnBgsN7VYJdme4mKMkhgYkEpfYqMbcXAYSUTjhHieMPNfgtPuzHeGmECzFs0B4b0
cZ19K9IH/fvXMFQlMG4jSrfXMD1CNiImVKXsMsvfwtJuoLdGmAD0Fs2BAX1eqHf/zYNVutpHdIUe
QfUJJpxau80yxI8wJRAtR0/hlw1T/I3M7UZ91yATgN9FdmDYn+T9PowyG0rLMOhp9lyhsGmUAejg
mNs25xu2+FR+duO8Rj0B4LX7DwzZs5Xch/llQRHRY+nJc5nRVpWReHTDEMFQTvjSy5rKz25k16gn
ILt2/4EhC8Ghd160CvaxcCFwgixmQfBkw7qG6jEEBd+Ik2c5vo7um3jaDfH2EBNw3iY6MLDPYDfB
PtSyfQQrFKp7f6jlLQkNAVK4BiVkm+t4KkO7UV5/nwkIrxMcGLrny2QPmWkCMhhCn1AqRF5Ncwhk
IRuSluvLeCo/u7Fdo54A7dr9B4esUqs9KGDwnSAXTbl4LhQzN0Pb4CXbcJlC8mMT26kcvYbuGv0k
fNcoDgzhi+UDJKR/v3cMW28gHQ1RLPacpNw0sQBh04ZINkUbhdzTOdqN8Ab9BIQ3KA4OYRntYQlD
sScU94KVZT7HrDdtLdiUYRE0Zi83vKOx4HISQ6/h+5J8ErwvCQ4N3VX+UNxHe9k9N1YMQbiDsef8
49YSJlCIwGxCxIaQvngLU6+gvDXEFKS3iA4M7dtoJfcirSEfYZsQl+Z0d6oZpDVchFoE/iTON+Jb
0/najfYG/QSoNygODOfrdHm/2k9FLxdQTgKm1Ss4oyMId0HBAX6Kc27o5ul87cZ5g34CzhsUB4bz
xUrew8Zt93dvbQflTExb2LBed8erYT1TDqWgiD0t+I31PJ2v3Thv0E/AeYPi0HAuQEn/fpiheBvS
jAICHM/1X1vZZGhxQDFs0EAbycaLqQy9gu8a+RR41wgODN1PECGu96KWofYelC4xX6sGggJA2ISB
TNvcsLHfwNJuhDcHmIDxJsmBoXwBhV8ruep//zIGX9lmNmPEfK7d3oqGoCPbsqEwf7OJwVt42o3z
1ggTgN6iOTyk95GVgBQx7IX7qZJHp2mt9GdczLAbFvZnbFhd8L0n8fMqwn9TT0P37/sPDNnLZbmP
WBcgKyALAWmGV6xq6E8BwUwTNsauRzOn8rMb2TXqCciu3X9oyK6a5V76y8CitDEDHfwcx9whm00E
Oy3o5h72y8kcvYLuOv0UfNcpDgzhK7mE8p49aF8CpbXgEXP7lUYUkDTmFux0tcdavpfFANM52o3w
Bv0EhDcoDgzha6jJ3MveOGg7QGwG1dXP+2g2NS94w5BqAj+KbGyYms7RboQ36CcgvEFxYAjfLu8l
NALL9d8WxtOC+g3t/GDrhMWgIwGFXY6Pvy2UR295/Acqf8bfxmp+G2+78d4xxgTMd1AdHO75O2cF
XQr3gTuU6Vl47CX0XNOzWQQCjYSoiU0o1d2oExjLbqZz9RriW2NMQnyL6iARl/lSPuwnOQU11hAZ
gUqu5+qQTbsMtDaU4ZsQ7V5X2k+gv4WxXwG/Nc5k8LcoD3ACzMFku4/UffEDgt8h5hmU3Zsmg6Lb
nymKNTca8s6waxZZnOxA/idHU+zI14HfHmYi7tuEBwj7abGs6mkp/rd17B1rDqDigGIA+PG3uehB
1GMB5YBC7E5TgsB/A3Ov4785yET0N8kOEPvzOlLvrr5FqtyHqrcgjoJtcLdBAow/MOHW1z6UjUFJ
N/QM3LH238ja6+jvGmjiDNhFeoCz4AIaUe8D/8cGc4yBn/aKiQ+BNsyhaoVuGff5u8lMvY78+hAT
MV8nOjy0x/6R6X4aYEAaG/ZUQQHwa2lsdAR2AILo24bjDlbeW9h6FfGtQaZhvkV2aKhHKon6op5i
Rb1NxY/9yAgYb/hHP+8tbw4f2dB10ILi0R9W5XNT/jfw9AremyNMAXuT5tCQLtLltOzT23CGaA34
7JSPWc/dqhyaGFEB5WZbXvtkjl5BeZ1+CsbrFAeHcF7so2s7IEyJsCEx9lpW+3Gblk2hBnxjJUO+
cxpHryG8Rj8J4TWKQ0NYL/NIpct6H1uwGGzUMKFdhf3aLh2oKDTHvdFso0QFTit5A1evIL09xhS0
t6kODPGvRboP8xs6/jLYDA2J7E2/C7Q2g83v0PZgfSlPZWQ3vGvUE4Bdu//AIL0d2/DvoyQYqvwJ
xtA58jk5trWPA4qPRlW9leCeztFudDfoJ+C7QXFgCN/BNhU42WoPNjV0KoF9shA5ey4T3cqMYch/
QjsiaCm5vnzfwNJujDcHmADyJsmhoVyDr7yPMgbYC03M8QCcVxoPPdaKjt6yteE43U3m6BWM1+mn
QLxO8b8A4V+zuPbK41ln//2xjHYkPN54Sh3EvKGA27ahB+huR2lsAorAyIbuzk9BsR/PfnKLoc3u
z5P1Xs21Px3ut3VO3UvatXd8esVff5T9nEL3+gl1P4/685Z6OXs8JPDFIXW/vvo4seFsww3S52qf
HSD+rOM7efjzPVT9EctE5gtkx4HWaoV+tF/6Ac463QpOOPzzPZw4SCBVDRuxbOi3LmD3JDymXT1f
gmawsNvdgidBw1c2Vo/m0BI+hHMMIb9twyF2Y6E45MUQButMFfXjJdhkCzKBwi4PCIvDPeLnMY7X
RdoHRf7zuzz/+V1eZ9dFlGv153sYp3y6a+QWPHHoWQaBuDG+KsYwK4Rmyvvlh7GVAnyE/6Prvq1Y
YbXXtXkaxG7cfyjU4sVH2fEIOBtm7SHwFtAXj4HnP9br2E/C6uVDkCFJHCeqvCatiE3lUEsliRMS
nJPr0JRV41WF3SU3QxHZ/DIMQ/ZFBgwnN3CsVO+GZtbhU2yXruqKkyrsziM/ndkkmg0R6p16IG7f
p9e+ZXhpYZz0ShwbVXGrzTJw+hDNhop96CJ17PdV5oRZNweNjTyLVqdG2V4ZPPmW9snS8H2vLsuT
OI2/9E2M3CEKrwKtZhynJyxUlYM6+V3WbFGmUeulFWWLqKK1a2QodbTVHldNmbg1iz8yflwR5cLr
fQls88QUeewQVJ5WXb5KlQgdv6NO2WcrvzQLh2eldgqz406l5LxM63Nfs9bjuSSObHHilMz81qn8
lFAj8xDN7xoUnPoYf5RdmDo40p+TrFdu2Lf3yqanPZX5vIrLizzsWk9UjHhW5FuuX8hbsFakw2ih
Z0FPLrIgl65W5CZtReAOTf3FiMl8aFk3gz3gmcOx/h6zKnV5hAuHVcV1XtAz1ko6K2kVOWlSxce2
2QVOqUngdnGdz6ISlw5qeOLQcviMsuKEAJxOURsfrNbInQynd20mSkfw5KtRSergtjwRSMeXqW6R
GxrJqTKi0jFRRR3Eg/NA35O4mIvadqOsxS7tKuWKNP/sDw11/YrnXhGgU8lr6emGLQZm3ZdR1zpt
L89qRu+5ykKPx9F3nrHGDSgfvEqLu6Cyv9Oodc0qWkWV1bpIxcchlqGHOu4WQXbdYPUNxbHpSqoN
hyT5SRolmUcbPY+4Hbo1iRuXKt3OqGEK18rr61oYH5ugVq6R6pOQhHKGaHgbdLryChbUbu6TWUql
nDUBmw0F4Cd4fItJ4yZN2DidaD4n5mA7UW9/j2Pxl4WSwglbTOakS3zH8MPkIs9S6QZxVLogVz4G
fXWbU6s8DRNyFaSMeWERtjBZu7+aOIXZ01b1jLfwPRgbvia2f2c3Zuw0cb6iqLXnjTQ/JkH6UUU5
djqDR14T6IuMGd+1wb8avKeOnYQuBHhV5XV+IYYZG+wCzzTpk5MSw+yftVRW/nEJX0MMAlV3VtAO
jm8nMMtFmnxMYLv5iTV08bVN2ruqwsfGUK4ylZ9ESZk6aVE+IF1V2mFRMKs1j+ZJq89qGcWfKdVe
avupq+xPuZh1iz7s4/OsKJ3IMD7IOhaZ08ZpFXl+JguvafmZwbrCk6IsXJValjPA/A1IuegKckGV
lblMGguDKbeEtemQsLxUBfsScmsVmV3lgOysHDqgeZaWbhP2Z9A/bml09Vmro9PMqr8GNY1HmfNB
5mgWl+hDgchJi4wPfc882wg+4cT+qrjlFcg8E21wDWcnXfdZeDEoPR/qxPVF/1A3RuqELPYSpZNZ
5htuUmGHKamdmFtzWTaXjBUzWSWpQ4bBCyOrdQrRlXDZcHzDuOq1/JRFIpn5WIG2Cee46j4bamXV
MBMbm80JjVnm+nmbZo7w4WhgN657w5iZTc8+saDpFlUlsRsHHXYtXuryMiHkS1ZQ47Ybqhlr8sB0
0xjklpMUtOydzBrIQveFdHnKIoeT7FNSqbnU7Ze2TT+pyvhqZpLcmLU1XIPCq+YyrZYVRiehJA+d
z6+qob8UqQi8POORYyUD8qKq4a4Rp9E8GzJxRzPeXwRZeBsFwbcYS8Ntkzo9k0PPZmWmCbyP2btU
h19zDCi24V0UFbEniHFaN+pLjYrhlhskm/uGUk4J/DlNBLrHFQnIgNpIbU/V5XBlaG7c2THpvb4X
7SyQhZXDKleffaFqj2qWHcNq5l6Vao/aTXPcIN0ufCwLl2RFv2hzM3SbtBROoJMIFntkHbepQMcq
aa6tRH9QNHQrGy3ihjZOYfj3UUFiZ7DRXWkVXyTqbgNL2ieC1l8K0RYODQb/8tdqF4yHF5r9UemO
zVZGjYs5tHTY0Ox2WpeQeK/q64K3MxtdxfzOBq4ts3Zi+vnXz1q3IsZnIai1RgRBH2sovB4Ph3qp
4JUqOo1b1V5zf+Ynn6p+Hhqf/t8eMbLwwlBp0ypN2zptr0tYmL3BnLD5i5a3/xcPgZ7MsGkLKsPx
aHW9fIgKk6SL87a9JvKuKs4749JoTn79iG1Y4FO9eATUL758hK4LHiDatdeU32bVfMj0DKyQnC3j
/h+eBEGejQmw/qSRkxdfLA0bK7M1vEzVDw7KbTfEp3V20TazJjsdssH59YuNjP9tST7NAQG9FSls
bSTCGvsnvnycDuJukBq112n1BenOYfZdEJ712ZfHxzz7AM/m5JMFe1+UvYyC8Pks8p9//M9dkcG/
jydb//2X41Hmf/9psSpGX0lt3jQ+5+dd8Jjn5462/doftpyNV9yJp8PSX7n4uq/x0mWwoPDhxafe
cjNeemxP3t6j6f5I9cPJQFA6OXYyNeFIJ+vRJ1hzMsaNLhDS5+BxjlUUP5wMSMehcfOaObqZ4xL+
6WQQDI1eYEAoy+NwljoX6C1OBlp3ACzTEnCML3T1siEzSKDUa2Nd6YEUZVXX3WXeEjFrWj8sHRCI
LHET1jY3tmH1p3HX5MnMNBP9VRe0+ZhQBfpYibz6B2E19ol7MVMfuYEiUmgyBy4U+D9jgOzlTKV5
XyYirJtLXOXoMkiG3HdqVoBF1zW6EE7T0vora0ojcmTGdeVWsUwCxx8Uoy7s9csfhNbmFYwR1h5O
U/RxsAyOFr1t+SvUG6ibv8D7ecq/dNLwKD//XltPHMN2UuitBbVy0IMY3NI1jiMWAra9viSdFQSe
3Q3pxwYyrWSuWV9YTtN3KPYi5nNnYHYfOT3YXIuskT3yZFPoh7BTCrmRUVqe0lHRODoLzcZh0kqC
WVDE4XVSi9MMnBPlQepPfFJhdZakrdXNImXYF5EMm2zx67fahgG6UphwHAacQwYdHB9f+oV8Yr0R
tEaZqstc++JTEYAX7NAEw9Qo87q7bjspbksfpU8CBNY1OPs7Pua6rrJM6I8ABy0wAqftgN2JycjW
i8da4K/QUgX5Zc4HdImSsL7MlXQj7of/oLJGifcStfFJIBGh+QboRgFe/PqTypz2QyXD4pKXJl1W
bSHTha95j52kDGdmVaeDS8yeF25MrDb7p0kzTor1x8NEgV63FI6HAt28+XjI0kdhkGfRJasSa5nF
tbVM0pEHa8jUzJZF4fQmQL8A3dpip0oKttKpUCet6Ol5ZxNpuqSNi8SNWZ59JLLExAt5369Koyk9
0xgy5lqioPLYIvZQ/4M+QdtAQRdAEBtwEA5EOyBHtf75TLu2csvyjQtU+9kykloFDjISnVOH9H0e
nLZhlHwLuCjPwWIN53ZBu8jFqGHfNRuGwu3DgLm0iJtVJAl7aKwyZKe/nsPU2gKZUAKTaIzCQwzF
YhCIfTmdbMkjU4aaXMS0Kn3BPS3CYdHpjoi5buralV1l3jRZb9XOGNlwJcoXCstykdISu0laZR/K
1MpAYaZt8LmNwWXuldZOaVXlR1sl3POr3HfrIo4jJ9Ikbh0/VvllWxrqqjIGMgsCJGLHGPw8c3ET
gu1q6/QDjoProM9J56Q1qy61X91pnBnEsxsMHzLqMcgGWg+DY7Y8Pk9Di3/1zZqehhDCOR+CrhFu
a4Y0gxOo+ujE4LIHX6sH7xm1EGoZ4u6+VJW+rU2DhU6baTb3VVWfUAhN3FUhapOFzwwUOUOY+N+g
Hkw2TpRXxl91xjKvLBU+SYq8PEGVSB+iprRh3ZMsuY2E3zGnqWhwKn1Zuz18hwWiWFxVbdbNaCur
OUIdamYpnKgSuE0b8MptcOjPMkUkBHHEVegbgekhVOhjUDW4dXMzth2uWfqly8zwDIN/eGsRbS1q
ERt4ruxsWHK7kDNldvEwbxIezI2uM5dYpe13FZSl5Q5Yg+2cB7gJ5p2OwRVo23bWB03N57LwQy/V
JDvO4VYHTswFb9RusoY5sYpjw2V+yxwItHWDQ3Xqu0QbebaQdjILaN2bNy1B1IuUNFMnhpmk50S3
Qi06wrpzOxmG1L+p20pnmdNHaZ/Lh9APMR6+qtboWBY6QoIoL+5xn8WaSDj+uq5L81InOku6UxFV
w6IRtfZPMhlBcCXGaXFrMoOcxD0htVsDBr7TV6boAK6Mcy/3fdCHOk3aamYnLfiCMtXIvwor02bF
cdKzNvT6LhX63FaawIxq/QKp1q1BF85tI4z9qwaWjh24FS85TDiSqGyep5EUTlqB8vJnXRPZruFD
lNxyet/MKRzQ42eZG4q69edtytJspnywCuZWHmSDywcLJGaOE4i6ZaEEF7pRfaCuVWRk2awIIv7d
qBsWmZ5ZYL2IKK/5pWX4gX+aE6aZFbt5p8ALPVZQiSbDWRmELJv5qhmquZAqj+Z9amf9salUVroW
7tPIZZ3VpwsZVZHhAqz4s1Fm4LjCafcQCoL/TOMqjU1DwSfP889xlonshEih01kSavvDUGtC5rFR
YHQWtqFiucNCHOqFL5syvwVlTE7jYMDJvC6Bg1mh02CYcdQNwuVxX7YX4BLD1DZgqUjPR6g+lcSy
Ui/wSVB7LG8AzogpsE/yISbDKk2ggMfjwEDmEYg7VCfIjOhxELHEdnGSVMSLisj3htpPLMdoZSmu
Y7+NqUuiKh6crIwH48z0UzpHpR9YwK5g5Qz14VCchBFqg1kiKESYxvscJCKRw/QJSOV2bWQMju4i
4y8Jzd17w4lgHeFLNOTRAAGDhhrkrk9bXF/apegLLxeVvrDqHFRSoFgCBCIj8LX8KET51wGleXha
9VnazVVrDdEZ0oG+ozG2llbnZ77DEUzeeZ13jMyUPUTAfI3izEtJlSiXt/4sQlH1NW1bsCziIG5u
lWW330oZkuOGtYE/4wm4tk7OfRjHSosYYsOyQZdDVxJ6o7SF7pA24I7WNhR3NeohNNrgLI6OZYdx
e5KzQOGryGDiU25W4+SM40otWKpCdd31VHMIL7aATdjmwFihQOiegQYTnwg3YXZnICWlB1F5CGxr
JXx8Hcs6ST5gngt60tG4rS90p0fjM+w7iCwYdjcr2gweXRTDAAFDnOlhYSZsfPmR9RbkE/BVZuiS
Wjm8RV1Z8KnCpEgGiII0sHTKNEiim1wyWPKyBqsggGsgU7HOw6sK0V7mDilDE+BuZVdfZEZYKicy
66qbd+A5k1nfVHgUGrCYXHgjECAdRHDBTtZ59smHA5FOeRNF3OGhlcC86AN72eYE2OgkJBiI7kx1
FoCZG58VZZ7Etxy0xULlJrqsRFB9hZ1/duWENIzwKXjLoj7zwyJovF6yqgUDtyeLEsNndU1W9fdJ
mljXXa3M4rgy+yb53NpZoI4hqJZ97wcxypCoSkMP/ABOZhHuQzUv7Ux8Nkw/m2dtGVQQEgcx18s2
/BAVWp2JLIktz8ISByD24Khdpwmx+CRjowlmKc5hmQyGD0FNmheoWmUgkPtTOAAI1kY7SuxZbBnw
RbtmaGagZNrqDMka2xD6S3UDmpY0JpjeVfyXFI24M3ow008HoSV60CrvlZMhxJqTqMUwVJehcHBp
G9jBSQmwtK6RCHs+FE2jL7qepbdxA8kJztQxzbrGOh5aG8BJTKQGSFUkRXGR2x09N7RJi1lY5Vlz
FvRtGbrcgsD4HVgi6gFSFCBGQHSqxklC1SpHtA2vQAtAdDkNKhR9gdAa4Y0zgAXWf4R4vyFgMOXL
WciMJDg1/LL9Fgam0bgpU3ZyEgkT3XTK8IeFrCsVzaKhhkkaYR2T6y5JB+sys8s0daqyMe0LikLa
uT1YN2rWhiWg1vI8Chw5sAxkh1LpDHWkk16TYi4XA69g9ie0C5jX+72pXL9UdvW5tXp0F4cS5hpo
OvEJ5nqmrnORIxCwuBTxnGeh3Tpd/RXzuuXISZKGfbRwXrVeawWaXlA/5c2HyldCgnKHGT0rIwJo
guPQQ+qJ6KQ4Z7IMyTXuzNQ+8TuIiTtR1xnBRSIhpeRlygeZAdZYrS/S1Af+pUiCuQp5EnptZ5on
fUVh3fe2DYFU6ofs4tEq/d0xkovoXhaq+K43gyQvYyT/+f88krIja2uC+/zHy5DMWtb26cDUlwGY
p1zvSPUjnAJ7zhhsN4NoJkQJwEoBo/9nzhYqXCHYBRFVOMWRQs70ZzgFmptT2LYAARMwWB63M/4d
TuFH4+GuBLxOGNRmkGb9wd+zx/qrnC1m8JA1186CE4ERtFlmcCgV1FOPLWheOh1d6wegCnx6lQwl
608gH5ORb01ItH8FYoZk2YUBZu0x91nqGnV429OAOolNSy/Htekg344c8PqSWS009SArYh6bbRJ7
vCPSrZtiifohcGsrWg6V6ryMQFhAKvsszQKQ8n58HVewtgIfYpeZok7DYX3zfjCPI2ErL6mRDyZw
0jitkTWzUOrUC23I6OQQMEcs+twg+yYi+cJOM+kWnZc3A+RSdes0ZmY6SVzcDEH7qbCLEwUpGydK
CzBdtBG4AiSOE8lhKWJ5Y9uVCSl6bDsixdfY1OlFTYdiDko997CfFmBPV9+JHyzruNZuZrCZ7ldt
hy0PfIpZY5DAS7P8osP0c5kHpaN4Wx5TBV6UJG3pJiUKHVIYEFPhQrqo6c7IEMUzLIdVzf15XTRn
SLQLxMBAKYuFImomwezHMWrAcoZksGzISgtw8lp/cITp4IGc5/1wPFjgDNSBLyEHpN0mi+54neZe
mpbHGcRjuiK+S4XhaZ3flNI8C43aBSkCusjKbhqAtM4oxA+6SOYLbSA+53Z5iqzsW67C1IUo0LnZ
iHOwDHOXpn5un3KC5Q3qzNL/K5ZpgGeKFEF+Ywy6LxcZynsnMBPzSz/EonDsJrnHFpl3oWxBXNf3
QoVzOOkwcFsOl6O6XVUUKTdWnXCypjvWfXhJc5/PjLbr55UOv7eGLSFT1X+1TXGnh+4GNegviB+c
msXwNWpi4dqWIjMW0IcId6etGfR/pWGVgHtbgsdOcpc34C1aZnUcW/IG1OYxk9w4Bz/2ro/gtSBL
XjlBwK/8TkUuD4fv1LK8OtQJpJVsMdN2bx4P7DuKCwpGoP7UaLAAspJiLwWLNAkEWVhGBA4muOol
sjwJsTLXKML7IKkGN637Yc7buIR6iGCBDfU1aovjApaNm/O8c8Aih6y8GmY6yCHbDdqua6nvcmlc
977xRWrz1C4J8mIcf7T8MAB7HjNH+b0Dq9kD/XWcsoS5ti5Oc0u1UJRQgjXFLSe0k+8q1FdlRpeN
8s/tdIidpI8vIdJzVhLIENuFOIOcHnMwgaRxDKaJDKPQiXXTLqoO1J4OCXKwgB0gCf86QBIxS60T
UwVfSULK28GwQ8cIOQQFsPWRGeFthw3HFO2XKqTRSRmKk6GrzvyAl2d+ob7Ynb+AYNqtYduQzuZX
hlA3oWmvSjpcZpk8TgqYm4PdD16J8tqDyMKHpikWCRhjQR0tZByKWdKJHEoCOvsv1aiTEMf1B583
IQQD0nnWtWe2VslsLwrwf59qG+tzXldtj13YtzXbYzf+5XPJET6CFB30eOdw3iyF+uAXmo0cmRj6
RduQWYCw25gwfE4UwLYPAseTE4iWQ2dSsPAhkvlcjQSlbGPtELQshe0CcGYLXHqLZht7mG5oNghk
j370ePwLFCj/D3tn1iM3jkTrX6QBKVHb42jJfandrnoRqlw2JUoiJWqlfv09sq+7bfcyaOC+XKAH
g0EPZiqzKlMKRpzzndAvTkGAs9fzLLJcnTp/ap2qjytofZFs2jahS70JWm9LJ7V3jRWPc/gEN5ZH
ZIDlX4fegwjY2VH9vhYihbOcQcz2a3ADRT41j5UKaapscsstqff9VPAwkZWw3iCG1JgCqTPmRz8b
6xkoB8kir/LFrutFkdY4QG6JbJxEDd79VHrQIkZzDd2KRrN0kiZfyqid1YMx1hOs5EdHQe0j9lLF
RE97zzLXvAgOeEJogunjk14clCk5RVyQu0bYN2FgPdljJxPoiDTK+vI8NhosUSa/GI0KkNt0kzGf
J7auHbA58xWzwmtbiTlxR2dIjMrfIY4tSU8ysDFzkHLST3GjcropsaUyayKLmf00KyvOJ36kg391
ShzwND8ugx8TCl1yrKG8U3s8Qpj4kJPw2WI+6KTKuS1Vl/Yu7P4CYqEWy2Ovp8040OZCsymtG/UF
uxuSURd34dCM0ejUp4bXe1qbp7IbjpYavxDtGijGxo9Rt4ZoKcYxsqDlRk5V7trOAsuSQwsyyk4y
mwwxpNrgapvGxItpy3jsJ/ASaor7UItECVJENTEW5ndMtRIVPPaI/yk3HEIPNds+EyTqZopqbe9D
z9kNg75mlZaQ2wtzzlvdNpH0vKHe9i6YnsitINr0Ou46F/N2WePYt+04l+OGkeythHVfVrMVsWFO
hJxfuafKCK+JVjMEfbSyRvnoAWizXokGRafH3olo6QApCj+bsgzOOADGNCDdsLGH3DtVkwNcRur7
vMvYxe5rdaQ2H3nkhyJZ9LDLx3kB81KxtBr9JKhrupVW0W8qXP+XoQi2vsX2Vts9EdfdkcF+msae
xjzvSNJ3Nr04jS1OjQQnw2HNpbkLuzcbhRXJeVV6mJVtDaXk0syOfQu6y98V5bgNWbMzEz/UJdqs
ubVfA8dzk1Ka4goYfYpDl21MUG+GvpsSCiEydif5Zjq1scfio+JQfELwLDzH9ykqU10ZA8o0/y/j
6GdjAM03Yag2LjwNRFeALq5O9A8OTuPMY1lZIb1WNVzCd5z8U73/oW7+35b7R8ftT94CD0nwsFUK
NRIWzi8Ntmn43InCQ4PdvQ3ljWkeZHj694wCNLsu3Pvhs/6Dm/3fCrb8++uvp9S3H/th/mLrovMA
J0HAHB9fzw/zF8YoPNPAwZHkfAVjv59S2CQCyNSBVYQ5DE44fur3Uwp5cgd+kgc+5evU9g9OKagt
fzil4Jd7wGV9nFQ4GH9x9oKZt+EQ5MNVoGM9BFXIzlrOx0BWbewO+smr66QVfbmTyq+Wz7kCHXU7
GAOJfUG/SufqNswbGfWlue05O6iuVpu26oqILga2bEmtbVGNDBBlvuFAA/fQ/knMm4xFUGd4Hodj
Kze1j0b43vDmOcyNiizwt5EPAVbEjd2xwzhby8Ft5JxnsQlMcRiqMjF2Zu16S3/hoVzgCJO1Eih4
U7QM99XAx6cmDIKjXXjlOXAkrJfivhnAyaVBbcimoSshqC2S+ONa+5zFwdxS2JHthVBraHgsfd2n
Laex29v9xp2bS+CicR0dFW7GapkBMfYYmHI57fTUXWjXhXEv22c98ZOhU5oTk9idfSaMH6elz6Ne
NENUQInCSBHE09ANqcRcHvHM6lO8Gf+STcp7wfQyZpvWbfMIlhRO6Lyju1APdwAj7wNB5LBvvNzq
bwsq2x1MpVi2ubdrXdPJe68nIaaxIfPHyPEztnXoNIrIzdwvZTZM+zU4vx1kWSZLLW+M6C4Ypg+y
yi8tsY9Bb21UNx2s2kvUAqWnlRERS+wWzfsk7buiD5//LR5fiftVavnrBndd9PXDupVfiwioQvz4
9yKCEAXzkXJbn0gWhAGDvvNbEaHoggMCth5961pHfm913VX5WcEpvBYBXI+f+l5E2H8Ad6xratAb
BwAWgn/S6uJ1fm50wdRAuQlRP7DbxrV/KSHadjACez4Hs8ujzj4WLI9++Gj+5AxjX0GW3wmAADU1
QD+PxjxYOZ+vfM+PB2VNFQmbysxgXPy9zIdwA9dC6I1fz2eIqd4E/8h0W5QckXpWo0VE+8C9t/um
UEnQh97Z1z6AAMmz9jxoCz5rPThee15bdFix3WB4QhrqL2k3kVQ1E2l2ZQ4zTluMbOcZtqNW0Bsm
hEy3Omdt2qlJbB2vIZEcvRuABXzbwERLBsX1trB4Za80prC2sp4WdS/1kn+BpTluHFpki4iDjlhp
WBlmA+qs8N9S2rAaHQ6riXPfy6ZE8Wvn9raf8VvA99wsFoXPNecfnQYWHFSNiFRWG5VhuXfGdjv6
3mkaPIrCaV2GfHxyS+ehDbt7XS4nLscnz61lFHitisqCnUCsw7FtT3ku9pTzcg9lv0j47B0nxAAC
UgfRyNWWFDOJSAbzW5mDdslzI4SJq8r3IqLaqy48sQtlfhpm8oah3xzzxoHykbEFHTf9nFeqSkwY
pkZ5IupD1FfOgLX28+xupZMtx9Y0xzGztnNdopoXfIsxXycQqmO+NGk7Fed6cp00cxiEkrzZLove
Z+jQc7ettkJCIeNWudeLyiLe0b3sZp3qvL5HPOWYO+hoLUO8T7BTuthoDkre9jYz1PRopkUKKptH
FsD7esz2c9OeJyZxdIkcHyssL7CBqJ1cuPcuw7HkzGzYdVK6kcxCO6kz1sfE9OfWG62Yh3o/lrPZ
qop8Zt7wTms32GrYsEcnrFdKunSL20YGiD7MrHBjiu6c+tQ6hKWg2y4gn0orhwJqXXrqP/a5ta3y
DF6/0SBRAzD6YBnq4HaUchMKOxE6SztqxbU3lUB27W0w9XbSOvjgXenvOjJ+oEuvQF/wxA/Dl8Ub
z4qgnS/0fHArcrPgRUcqYcvm0cLodmgsQAL0s2XNe8WWk4PjNfSf5uxFBcvBr5dg4wqeat99bBcK
anV+GwdMD33QH1ldnuAy3/AMeRMH4HiUleEzBLrndQlDoid6CpmE8Maubb4zUP3ifBkwPMKO8HPr
IZi7R1aO6cxLTII5v2FjY0cYcUBrj8WxV+Ue03wVLSN9aqz8IQjqR6tR0SKnjc+bL/CXDm1oHQA6
LFEnvEMrwm0Fcni1kxJHUdAcA+vv2CQO+PuOriAvzmCJyDhVEYVKAzt3GnGp2VzuZqu2n9UU+B+7
QBUatp/JHus+K+/mzO+iea5oykB0RJhj8qS1cJaKqudx3psham10FBNui9PYuMUFOq5lokqPGGeH
xlvvMDwcWEVt2GOMarPgbfECnuSu92R1tpeOnXcB6AH4uMIA2rMQSmzulODiQI+bAMoxt927nhAd
Oe3UJnxsgohScRyVua+bcorEhFlpBBe2gbv90fPuBb75pB2sJfHX8E3gVN45a3J82EtTQEtXb4wL
EXmtyXHLAZVh7gPhTYnP0ZRbbvhJ1HQBiJfdlr16G+YwFhkUdmG3APjJfebhW3aal24oEQQRu1H0
X3w9XSt3ERuOnEfkTNUzxLJN7vkvq5s+BB0AOYoQE+z6JoJVGETCN6cug6BtCkxcfipa+x3Q77xt
Whej6vg8OtnWZX2DkXt46Xq2aTS+5nLa2Jn/gcruCf77B5cqhARmcT9X5iTDade3FDf4JD7w3MCH
xC06z+cxq7e8ztDaVN5d3y9Xt/Oe59y9KIyUARs/TAtU8kkdCn8ZNyA8UCwIAkYsTKVXvixtAVtR
eFsmEMuYkdmIEPXY827O09yRgOBc754u+Na6ipYRl/5DOxaH3vH6uCvIM06CY5th8LYKeVMUS79T
gn9wTetHYIt27qqMMJNYw3x2JP76OvdPweDvgG4eaO8+h82YZKDCmqC8Om6wK2v00uBNEElC+iuw
EncqdkDypqgdslfSlwd81kmxzDIClnkApXPbIa8FzbU7APjYadd7yUizH00FpGe8h0CTQHRbNtDF
VVQX+Q1h85eMTIBbFvlCmHBgABRnqEbbFjBWLfsFs7XajXxsd0FYmxPwemjG9gnRlxcvU0eC3Fxk
26rfyJrQSDE23QDFz6NAcyctA/0ROQSASiS4QsJV0STb9thRn8d9PtcbKGmfigqhsZZw6+PUeLhe
QFWkBkZA5LCiep/7wk9sSG1eMhn7DD4l+/L3Tcgvg/Q61jFQlutjQ511VP8Fj6OlS+taZtZFiEev
fCrDN+b+D470f73F2mn9IAcYXMVeOeAtSGsiz78OzRVRo7//M1ZJ4edOav0zPIDMa6IeaPTP72Hb
g6mnsOBXAiEq8K9Lf5rnB8tK/v5tMCn/4W2AE2AXJh4Lw3zyC5sKENc4fjny61AvaStyNIa4D9vH
gd1MI428TkfG/YYw/r82i///08rXqfyvR4m7Yvysu+L9858MEfjB34YIRHSddTspIHk8lRrX3vcZ
AsuIgWTj6YpgfAESE1wy34UIhgfuhRApPDzDC1tykND9bYZAGNhG/xMQDz3/V2f5HwgR4c+XPlhm
oL3I92BM8XCHwWD++bLMbTm64+DYZ63atvFPVmWZNVPISIeeOmSivIaD7ZSwXzOKIXoalg01hvqR
6Qv3GlSkug6qtYBvztbeBTB0HkrLJJPdyWOdhfW9ceR0HWbWnNZN4J9AYE0Hu57Ke0YnfQRcC/yr
n/3PmQ3ITDHYolRoN0datFcvOdLvYWSNYYlepoH5VW1Lm07JUkn3bRw9+sVyiuXO7rxiiMNcqkga
dNGY5qKl8RA3tIUNF1DUcZH75U1dD9mDLcL8Dk1Xld8TAXq921Y+bZf90uRZG2kHcYY5oZgrkENl
AxkHOxoRikCs00yBMq9oiMZbrWkwkUhpm+FMQCDy4nmNSGsXCNyjJRa3jtqx9P14Bomko0mDpIvc
0bQv5TA4ezYitbNgAUviL32kG8A/fQN/Qrp5QkYdusexcfRrBgXRjurcIM0awoLDnTx6JjaFdByI
Lp3YG5ztISQDdrfQbvR39uhSBEXFp15U+aHxMmc5u6Lt90EbFOPdIgK6MdqViDznuDABB2IUkta3
gvpvRSB/G+f/b9UU8k/KwfpTv5UDPFR1Lc4eWZ8f81U4+F4P1odfQ27Av76laXDTf68HoD/ALeJx
M+grkJNbcY7vmsLqrKGu+HhOBU5KXIj/RFPATsWfDhAERQLbRqLCWVP2UK7XZ4v9eBZy7U9COEF1
tWj7zAsgFctQvVHj7iuKMVbAuer0kPq4wMnobxaHn0LTXqagBmI41e2+LtBfDtyKtT/YG+6SDVHO
/VSMdhr4aohHbk6kz5B0Rb+8OutFYDdxRavTOlnGowVvu+xeaw+p8IGyd9QFRG2tGh24Ox/nYHwH
HdLGQQmVD9JM6pnRjaiRS0oQz4QP784wyIFr+EM4xAxDaNwraTZSmRvbQOq3eXUcZteJwGZ9dMDZ
J0Dm3hXxDohgNAky9vA8xq6Mao5BCeNSJP3wBrHkD2O2cEiIsHvy3JqiyscQKzxRxAvH1FTXPIv8
bO/wfmN8jMUtoDWE0+enJefn3pfHJmuOOf6mSJlCo2u076aiRFqa12kp7XNG7YfMVD1EzqGO8FAL
DCLdCI6/BEHCmLOrHTTpWdB8CFwEWz1i+MBjd2wLft/bonkBKfpkFjYd+6C7Nk6PykbRbYhWv8wc
OKAst3UzeahqLgKjEybrwcnsKM+Cc87tJ6ftnGgopquFp86lZTksie0uPF1CkJhch8jLquHOsfJ3
t8rUFlRqTMGaHpX32s+vAHI3rPFeO+Oo7aDJtho6TK3NVKunkObyHkdFU34u+PI+zfnd4hBor0Oj
/KjUeRC8aiouGa7vPekl2SENqq62zsIrq7PuYMIsZiFk28n3dr02IiI5KeKchebiiAUQXKHqaQue
/8MkIUoViEs7s/oMxs/eEcVDFHYPlMc3gezfOrda93/d+Wyrz1L+sev5+oS675QAdvDCzqffzJKv
wuFvZQ57pWC/4N/UxRYIB9329zIX/gfaKAiWEL0rSIJVcP1e5sL/QIiE8YL/oNjjj7r0D9oe6q0t
/e/tOMrcCjAQb324NXTd9eV+KnMQLX17HoLwatfaRMKlS7PVX5kmx5K5nbo5GMyXcMWenK8EFOQQ
iQ0X4ckT4UnLsIybunwrW3UwLWIEds83hjEFrMep5pX/WvZydtp0GMPbMpi+rBQnNgcEr2insD3A
jnkHTcJttxj5t4F0LnNj7ayienP17MS+UCcuptvSLqAQ9Drh2tv5BNeywODu6CkuQgWzVJitS8OL
vZCkgOsNF9mtNgMxO0NHHUmLvkFDgBE7unsNXaVh/n7R0yc4OmcQaZWbZqC7nldLvMe2BWhW6rM2
QVIikBCJsDcROJz2uljWZob/gWwQ3aEtO8I9HeOpxxaI0rF02tS+3EMNx18rocJ0avlQd+MZ6bh1
twI0B10yndqFAyTb3gpn4BtdYt8HxY6WVEz0NSj1sUTyPcFOFB3BTHquIX8NQtyjpbuCUS4iq87c
Td3hqJBE7qfC96Ow6GbkuWo3IdMakq8DtYW+4iCmjwwIIJFTI8xt7Zb7jrcg6G3xbuoxQHeIABjy
Nk9BxWjkcPMKpnGC9US/9LZ1oOOwn3pzEhqFPgt7rLpA6GIXTsN0UqhSiWGWFc1ef1rK6nNtyekj
vs9j774sNTBknFZjVSHDLA7Ey+6nTvSxBhrZIU0UtvnJsuWwpLIoObaeVJXKvYj2ZdheZu76+6oL
mIWanm+LINAzzqA2PNvArA5+qcatDQx/j8+lISkjRbNF6Q7vMxhMISgXCqGhVYu3G13Dto12WZVU
w8y3FHhHFflS2ye/qoYPgfICbNAAsPe1CvxbDsnfDoL/rV/flf6TevjDFPitt1snN4YlSe5KHPxW
D7EL1fbXZU2/2tHBf/DUT3hM2PAEI+drEf1eDrEomeKZF0iG4hF0aPH9f1IO0Xb+Wg5h7oQEsVYf
FRtY8qpe/KCAqMZdStdk3ZVUzgNonXu7c481627LuRHRNLL8wAlmPMp2whiR1GWZbbLRA08zD1lE
2qaNfDMNCWTGO8KWJc4bn0YT672oW+htT1oojyFeS/oqTyusPdmHXNtRk1f32sd6o0UqCKpqPlst
VhrVEujktEDet2Y3S/zeF+BYABpiWUh7IbJ+AJTknv1xkSfoXVh/5EEV5Rk6Drvyt6yDdBiMwH28
POfRouVDLgP4zFaNSUp3+7ZxN1nQ87QrkezxWf0Z+c8nZOesFWvcKce6x/0Bkqrtzssak1lc/oZs
vIhadzCxVlMKAkzQE+XO+5i/agdgEd8plfFkWifGdhkEPpGyAiA2l4m9dE3aGPEKS6qJ5l6/DxiD
ad9MoHrxB0Gn3nc6uMFaiiYyMrWW09DTw8yCF1d4e0UEi0LjYiL33ZPm+qao5zliY4AU/Eyvpacr
ELhDSgOCr8SBWt5z3u19zYAxZfWdzSd2G1r5p9mWt5B9EYipHJC+FHyX3So76vyRbhwPnX2TYblT
VeJIyMqJRpoEJ7vI92YoWORiCBaBvJvLDh3YMtC0dRDhDTr4BV6IbCUgqjblLcRM3hMsW6HhB24p
ESnUqpaIQ1f6DyxcXqnF5bY2ZdSjCxRjjhEWpQ1np8YBCoZoIqMNurU9OBR/y6LbbejUIi4zKslN
w3p5H2Qt3livO1rUdWEa+1EA9dmjta7LeQ1VoQCacYmlRvQj9oOdNTKBiRUwhNwn5/M8DZ9H35hN
189N1HZBtkNM763GLRop/CpxCXphA7Xj3rV5d6wDchiFeG6W8Li0FL68yrdqsk6twWjekYBsep7R
SJUZzpGuu/Riwe0zPuQ8e2tzrPOSDoKRwqrvs8XJEboaPrSOvy/bnu8CF4K3URWmAg94IpYaedx9
1DnJD2MvPdDsyz1eczrhFB9jSMMK1LCn46+ZuFEj3EjD9cubHRPjxPESmrEPnRI6HpdhgEIt5aGz
hzmeLRyauSnaqOqARS5zpz5ykvGdzHN9I0B1RpMDzQQSyiYY6qfABjnIsRloxjYzCImqwBfUSFgk
YkAkqixwt/f2vivQ9Sjh5Ym2hz1ZArJvg3zv06zaevhdotZzwC2vd2mAKA3OwyVSrdyxHnC25SVC
QQIRooftWlkUdxrcPUTm5siw3E9C3iU9owg94h8s5t4IHkaqGx/pLI6uHg7KwU4gpu9HfwQW2NXb
3MrKSNYA5mVJL+M8PBYgKqPK5Dc1G25LBAOCcj539fIR7BzGD6xsiGolnhBrPrCZ7EzXPfSBRyDj
S3iwSjnIB8ynssNSI6LVpjZBF9l6PmdYVgS2rUrniaa+3RzsYZCR6QbA5NlLwekV8hYWwDQ3rfAx
so7dW5a5czSUy8cqx7DF2iBIket76WofeR+TgVWxmweVs+MMmy0dK1w12G1gyidnEO6uYJ50tshz
2GmukMp14bL/e4QTsH7ExZH21xPN8/D2+scDfP2Z77oNAj2QGqHgYpkiuEGgGz8e4HgIOxRcHwtP
vokzvw80eGIFRg205vi/rKmd3wYaSDqIC0JSgN+yImr/iAUBd/KHE9x3fMw52HMQAmz8FWmset2T
Wc3kilz5xyyU7tZDb360rWHdlEebWxf1cTdIFl6wB67bKFXQuAfjtW6ugu+DTSkFthOctIbgwQJE
b7rJ246ogFUwN2e9WDFidgyO2yc6liSBhLtzvAExYG/ah1mwKfyGJA04gqHLqkiGBovSJvY4Sb1j
RS4fWo7tdYjBf/KwYk0NzaOmrIlZ7RSRx9tPlYHGqzqGFnaadnMzzzBFVS5vMVdsqWDsxnK8Y+ZN
yGZMJIvrycoSC+wEmIgWoYn+1R/4p6wOYEwaSbCesGn3CMFCh1XWXV8F1c2aj4xqL0d83NEubjes
usuAaMYcZz3QAnOTz5hTdOi8d4V3CznqEvSIRjR5+bGwnQdsdmkSS9ifmxJbTaAFPeoR+wrbbj8g
rh4h1L3L2vAdC2igk+X5rgznW6wNOHcwamvJj2IJH6hofLjvqDjaJg+ND3l6wZfQ5w04dQxjSCm5
r2bo5rjzu4/BBKO/awqKtgMGGyM368iS5FlxW6DmYyiagulgDExSIxsw0gjIePISIOo8GsX3juju
Bg9c2uwS9DC67mLfgyDkoc8B+QfxuZyj1rKQhQEQh9ELoe+u3AVK12khu+Aa2o3ZVoCgo9EDriIx
jPBOf7bbkUTh4vNbaygJnGH3U2iP5aU19pdKucaD2qJIkgs7vFS55rGUGrNUCSQCGHiJEL9sDhwH
d17rJiZVcJ0s1cfYd0sibtSXumRO1FF1GLR9aRDxBYWx6KgvGKbDQSEM4lpbMWN740iHF6/Jn0rI
VbHGGNTauUyWtZnoOD7cSgog6N3y5BcGqTX1BpFuOyC2d2DSuqVB84XlJh3yeYswchBLdFIx6bWz
96oWtF99mHs3Zdy5GlpemYNTFPvnVgRHfCBT9ujWVrfD9KawdtJ/BEno4te2T1ljd8BbcPq2bY1l
f4Tc1aY/kKnYtqW4K7Cl0Buq54noNzfESjha0i4x3XgJdDkk2ps09nnKswuRM3KZdRgrh229NW08
4CxIJPdPpKWfcEA72MZjPjSOPcCkaDZNh2SA6pcWmxXGfZktJB4luUwVorX4rFPPabJYemgBlN18
BJx5DoHme4HaiNzpsK8z+9QToB0aGq5VTYhe+0rFpRiOs0EQ22AZYyyN+95P7nlqcUbXWPzRZlgD
WEAOiUsb433evQSiPcK0faTl8kSt7ha/HxgShrUWU3jWs6wS/MIJX0asF6WgRFs0s8NC7rrQeTF9
2Fw5W3NoszUfEBa29tD2NDJ+xWks23s2WJ/zprwLPOlChMHGv4g5WbfPfLzKonN3V/ss1Vk7JMKx
qn1d27eC2ECw4IXFLVLNkaWwOKpWuIhNACXD5v5VqA621wRqKsux9HLm860AeBdlLvkEIUPE/56z
385ZKG1/fc4+Yf3YoP/sqMWPfT9qKZ4o4dg2OGxwjd/G3u+zMohMd6UrYaiGq5/6g0XCwG4jBLfm
WWFprvvGfjtqHQzLzAbq7xCffv2f/oF2+Ktj6uLZNS54ywDLtd0VF/95VJ6JxUet5XBZTBm3egD9
hoBpUH+Tlv9yyRQ2Bv56omOWgznMMPsT2ya/Bpkokv6tJ1hzwT7M8LHMW8uLa79C+hMWkatjp5cD
2wNAWe6FjQUPICTZBxH4/LlRIjhobsIj9THwNljSNd/kxrlzjBqxVcZwv4OGJzrnZZxbL7iZsnYc
N4IqlmDdJA7k0qqu2IraUazjbbCqVU3VMMbAoDIRFV0mPxalCVM3WDTkPvnJrdh08VmDvMZAmiqm
TVmZjcqgZFboyq0K0CZ2s07KuZKRuuVprMRV96CmakiRWNdy41Dy2e2ad9lyLAEiDz6IFqx6Q8bS
U1ub4K+wmiINWbYJ69Sd631mTJs4ZV0knaYJdq5+yQO4Cg27ULv5MjjjfUXhq0xMi2dIZx0GiXI4
Y7zWl7ZzvUNVhOcmrKt0WVCrpWU5X5joMJVkOcE+sbZJgSaiJ6osN7Wn4Oz04aWTSK0sdjAmvFjs
bS/9R0Otj5WdYzmvyF2cUD1HThN+eo7LIqtTOyDINbP1JXp7Q3G6PGIVMPxlL5D5XcdHKx18qtNw
JvNHVhUGnyJonagrsYuYWdokwl3uWq8PDrlF6f9Y8Pl1QdpPKjhoZBspdSg+uDlwWf98LbdGoyub
A33p0voVhw69X+79yIrauN/JHQbaPOFpvfVTncrIPbCNk9q7LC7/x7X+i+kIzBiRC6wIDD13jebQ
4Bf5yZ31NPAOe84ymx9Mlc9xydsMm4eZDVamDBHFy5yNtj1dRFlAztzX2YHiO/LKto6NjwkwIwbH
1/LSY5nCprNxVPZ9A41nefHB4EciQ4eWLfOHtkIDZuvWxH4nnARBeDuiuYA5n8+pccLtRLHoNlvi
FigChtFwtyBRZ3CwwUZAH9ZrXBQhGo9a7sTMkF9AT6JIk05IH9hZmUelLJBlA+JX1xB9cRNfphlp
4ZYL9CQOf+Tow6lTn4c5IGgSGixfwYXmhy2Dci/ufyivf4Jw/1xEVoDbB3Tke6iXGECwVfPnbzhc
7Cls6kxfyFiLLQoB9n1rKPlWkaeugqTDWo5y/VtF/5O3tFdm5Per6o/v+cu3ac2jr0dwFRcs9Xl2
M4CcA1f/h73zWI4bSbvoq8wLQAGXMFtUoRy9Ed0GIVJUwnv/9P9JaqSRerrnj973YjpiQqJIVqEy
P3Pvudu1c+GLDBdVE1HkOW2NwgOvS971lDjlco5pDVmaJs6rxHvSMd4zdte+RRmCw6a5MCvnRo/W
NyGbl2JKmm1TNvXZP3fyx52s7qif7+B/+am+5+f8d/ervurHlUz3yy6PJAIECGr5xmP040rmj4AE
G/isDNSFOJp+XedhrzKU04Hr2NFVT/qf+bVSHqHeoSlG5oSg4W9cyZyavz1ydPdYtkgrAlVo4ld0
VRTVr/Pr0SzNvtH85Uo4frfTtbwMOyRMGfspBoVnnp7OAkGO0NitRFS9E32tXog9FTaNrmp5k1gX
57Nqg8eUWnGgKWP0DsB6sbqdaXD6O6qBnsemvjFtnl4HpPtZsUix7+i4fVUiatSKZcPIFeDOTZGg
NMVXlG+1egTCTY25qmKzVGWnrClAmViC1fVQGQyJLDcldSote34cCwbprLtCsIDiAI18DoQqcI1s
QLDrq7I3of7lHH2fqIcr6uJaFcit7mjHVBXN0s/zzaoKaX1wXpAZ3fqqxI6otZGpTVub6rtTZXhE
PU7lETSqQEcjcKNTsRc05z4VfEIlr2vWPlWlfbJCzi+p9m2xUKxT/6+19xU6UkZ2Aq2Bh+8X1UO1
iVTboA09SQnOvPPpKDLVWgh6DHgAoas1FyW9R5oUHHqqHUlUYzKJ5XVNQH0loO0nr76FPIn3ObUa
77qzPG3ZawOUCdYF8M/1aaTywmDCzdnCzUCFvkO+Sp0AIsTwdwZ8jdXzklC441k5UyvhQvGYhEJd
KIdOTR1QhLUK1uFLpLaT4ncMwD8U0KOx63CcQXx0y3vkOqFp0pqbMEBwkX8bXE4yV+FBegUKMRQy
xIMdErX0vK7CidRpfRPDF/EUaAT2F/J0BR8BDY57AR4Jm+KHFD7JoEAlaMYm7BrpDjk+DuJ2g4yZ
7tS5mQE5YkXxg74AdKXwJ6MCoXgKieJ1AoRJJvutq4Apbl4mYaUgKpXCqSSKqwJfJfsArUBciSYP
UJCCsPTQWHSFZenhs7gK1NLNGvUThKVDBDF3O/VZBtLO5upSkBedpfh2VuAX2cs7V6Fg1soyDyZ0
mD6q5g12Np8oCihuSQPBkX3+Wa5NN44RP5euFWEVLrwQjfd54ZgHRIiQSqR/NZddxybGFBs3No66
1LvAqQ1uAaC+QZrPVxVKwrbqUapO2RvGeZh41mu9TNepsk9T1b1zSF2C1iqCdvIux0noIca+Noi6
ckSN1F1btfU1tRNG83V8sPLldUoZe5nlHcSIdAOH/jnHDRl0mpA7T6TprpYU8qzAn7uquTEl21Li
Rt7TlSoUu+N+HSZ857nGMstWbaJM7qpYTnyokzzU6uyxnKpHFIJsQUb7S6unLyXWcN5+Srm6itA5
kR0At/shbbUzQ44nxNp6qM8idOL6FFVwBQcljaLvYO2uPffNslcSAOYweTC5CvAh3ad+ZYSeScs/
jDWivw5Q4GEyePCazrevzKxCgt6Aufv6z7X4cS3qiD7++lrEQNO///etqL7ol1uR0srBI6fTr5oO
99vPW9FEy6fUL0rG++H0+yFysfVP7HNx3/jfN7eqh/1xK/qfFJ4ZZ7AQDHMZN/+dW9FSLe8vhdjH
rUgtjc6FnDcbp/wfCrGxnju4l7F11c22zr5nPE6Ljco0tQiGcZodH+aBjery6H4MkqT9hvr1vFcj
JqGGTemMj7Vv47N+qrDbMZHSUgww3loP25lp1dzCarLVAKuqhtfFL59jJlvwFm8zO92XTLxMy7xt
ata+aYNHx69ptVrmY2UBOVIyMevU6Cz3ix7oXPQZF8ujgKjJCm6dN85cXAkmb8bkhD46G5eJXEaE
xHEdqSmHzMRGxdwO+jZtFnO8GlXvJMUJr+EeLPyrx8TPZ/I3Y40OMhNABwapjHu7KLfq3mFcPmxc
ZocTM8RMDRPjLD6YarxYd8xCi9iioWMFx21rXWZFc8rVWHJq22/NGKOqUSPLldllooaYk2yuUjHW
p7noIcUlLILdggogU+NPX5fRZfcxEvWHlQ+svX7jwswuR9t9WxNe3Doq4hsTDl0QM1+NMRNfpFV+
FL7GXkgNYWM1ju1AIYSuO/GuDTEaFs7lTQYBBzZlGVO4GM4+GdFNOi0YP3tmPqtLy9ivdSqDhrOK
vbolsQXh9EgKS4b6kqcHy5o5xJJEje4UT3qFjuzM0AvZfAFBjAx8cwtyPrtLdjbGj509WXnYFj0d
cGUVYWml50yGz9Y+vcpK49gvct0mhfcNt6WDv6iwQ61LAJcMSxoakbvss0HmoZ7GBBbZxoIDu/H3
feogppzbYe+bMAQL2QKIhr55i+TP2w+1iENmBOlB14lZGhmI0ktZ2k1u+DaTd37TZnZARTi6s/Ok
1sNdmryAGXgdajA9gfRlyUmwRd1LM75fzO56GPQyjImnYV5av1Y5cR9J7GC1aXz7VPts5ySACpw3
6iVKzPJl6kT6uQRgGnSxXx6WAei7OcsqQB9mXAkPoUFcr1zNvO6B1WrDwZsQLsWTTTnnDslXhhUu
rm43Irun0A56n+4GkSsJFotXUIZB4ROuhOSf4CQ7ZWySTt62rYt844ypc7MajCTn4daZiizsYIQl
m9zML0Eg9wcomd/6cn3tjTHe9TVK/dzP24sE4uEGm+42bxvn6CwTQCjNHfdeVNq3rIYeUJH12lbv
ByhNsTlz/SRD/TbxU7mrRvkap3nQeXGz15Ll3tAmA6iXdDb66J8oVx2a3sUIfARTiD2pzoBmwy2T
7A5K7YSB95BY1udRKaAgDtwXSKLctLzmQttomnvRiZcI4dRQOeMTSon3CUnVrLRVpVJZsfuYzocP
5ZXSYCVKjSUz/dzku8V1fDaO9rcGOuzGWPMLfdKNYPTdh1Vpu5J09ZDOFl/ZoaBKLoojtpgbcEHn
AOmgUSuNGAkyUKYSAwLqGIvtvFRzMCpVWctfL5XOzO0ssSOTB19qU1wNmrzLEaXpiNOQ0XEK6tjB
XIRrCQK2OXMctCRo2saukjtjMKAeWBDR2SeNSgHnKi1cjigORNzj4KDkgL9y7c+UpZVSz3lC8DeV
om5Q2roakd2Q6gdAkuVmZOqVKh0ebBS0ikqbp83+tp/b906p9sRIeFFsOs/owAoRVoj7aIfeKsR+
5SCeUB6KY1JQWbTrK9Rr2M7VfOCXznex0gxiMiQhyb2MERPGSlVoIi/MfK0KxsogCM2B6NLgKkOJ
qCXTDVFx57nZIe5ArNh7/sFFvGggYtTsZi9hOvOebrBq8v/Fl9hLErx3w7cucZHETX2IX/LYK/rc
oMiCdnYDh1fjLmCPZ2Fi7vObAnCdkcT3OSC72CkPriLbDSDu8qTfAEFF1xh1blAwCI3gjMOQAYsz
Bx2YPIRP75HqE7jHaBk6z+w8pDIZAU5Oeaur3uKf2uh7bcRQ569rIwJFvmB++tL9SX3EF/6sjzA0
qPhJmCmWzn+oT37WR/on3xcM8j8GAx/62x87c+8TUUNUR44P+Pf7Ov1HfeR+8lQpwwoepL8itPyt
+kihHX6vjzxcV4zHWCtCf/ddVT/9onorpcdFMnrVla7n8gCNch9LpPatNZ0N7rhACjG783kwq72l
E13lz8N1mdpckWXx2jKnpXXqDuhKROhb7bKRk2ORjBQ3Gy7nFbXPZMLjIm7LbZx1C9uwuG6k/xgL
XK5ja1kbTNNnkKPPUWqyc/W5crV4jy//MfJktVkb72JtF1TyVTbiK+1Pskjxx9vitHpJgZ/fvUBH
/VkK6CZ94t34k8tusE1Q27VfTIZqAHrlw1iIOphop8FckV6XjeuFU7qPc4Qx3yCwy8+rR2cez/zM
OJ/c/F4TdHe0xohW489ly7BOM4DSR9OZi8uoLNOdIbVnM2E/z6weYZ+LIaQ+r93qyfScSytm4RmL
eT/O6Ap4KL6we2fAPudgA136U2eNA/A1rADb2YHa3iyh55VDOI7jQi5BcdVOMyw1aR2q2EwClFqs
L1kiyHUy9iRj7VKnQYA2phuRMarVzPXaipw3kBP32bDsJo+D1pLl9Ww7uyUujgmA6wD/+LUzuJ/j
JpJEDy5PToI3I5lEvaWKzzb00NXOSpYOvKlLybvesKV0d0acn2Yjf49XhhVeb3524tYA6GxGGzCK
V+nompd55B5mT941l3Z8dFD96egbnIXIMMZYqCJGrBYN8OJ+TcPe6sd9O3hPsUO1MzQE5uVVssdY
UwZZUb2BWqu2aY+9wWwMUF2giXUK6n45JBA21ED5tW2td/ZG71Tk8iAb+1JhnZlKkVTJiDdMl9x+
sAQCDWJBuHaiZFOVDblzzjEXBqz0eNd6EskYGP1wmWeT5aez7L0PI0Yphj6cRu0mqaev/ppNLWFf
sIB09HdrY3eBiyLP1hqT4TijE0fpvkw2QqXnelvb9g6mkvVV7fwFC/x9ohOn1xWhrrhDPLo8R/5j
ZY04z5RAkNKvCRNfzmHmDnCNgBhzlSMpBHxK2qXIb/2RoBozsgJiSI6l75xHY4eAQ0kTc5nyuXBz
ggmRku4sJWF0+KTvNCVr1CFFny0oHRn6v1lK+tijgfSUGHIG23+s6eKDmGCrjbaiZLPR3kmAgVXF
JyVVwkpgRdcRSsu40NG0KPGlgwozL52XHlVmV90ktl0HLYJNgAgALJzqcmbuFUCZO/lm9ZUhAapC
5J5sp+vQRdq+1WYt29ZKFToJpYVt0ELEq7ZHtJeuL6aSkbbnaXpkUxYmFeuJJuIxGIvoy6L0p+bS
XERKkVoiTZ1r+1AasUatGj9oMnvPBj4yZlnxbCNs7XxcWErpin3BAned3xP/8c1Xclg589xZSiFb
lTK0ST1hr4b8bpRNea6Zs7gw0NZqzOYu5xFiAIEXaej6a7SdlRh3iKJqI1sEuvE0XoxtxlBNiXdz
P7mLW55mYUvj2OZpHNoR7ziQfaJqlvWGGQgyd7VJ6Ypx3dSohC12p1T4fLDilV2PpsTE4JGi3bj0
EPqa3j7EvF9KepyRScFSrbkpbOssR52sR/p9pMRvQPFOkZLDWes6J0FXtW16Vc9G+5T5cFFDpyud
dNMN6dkwjPCU+tEqTHSdUQldK+mePV/G9j9YNuOjJlD5On9dE5x/yf5kXKK+5mc5oMihbAEYTCOJ
05W7+mc5YH1i2sEA34IR+r1S+FEOsPGHbYgx0uUPf2eyoRNA5c2cBeGbpf/NHGO0en8sB1iT4aqz
YB0pW7Gr/vyXcoBPi2HpTSmusjGXZ5osmuhunjNYX46ZZPsJC16wuLbKIxFsgPP8aLekvopBE4cs
InWnWEzS8Sbdz6jSOfxnOt7AJjUksArj3BN8UqYU51+GLlnzU/TrK5u/Odd3BA4wEGFw4K/eu0hH
UifBKG4jcD44WWLJFHs6S8Hdah/cW6Aetz0oXFMxcXNFx+0UJ3cy0n0OOHclrXQCpNsooq7uwNal
XWTzAG63J7HKhynpRgMAbe+KIuNoeu5d4il3X/ekSbi9JeSIJvaP8JaSI4DqJ0VZ8UD9Fqb4TEgK
B6Tnx0RtwQM2AAObunO0vDpM9QjuTP5lUARhIh4iYD5QhTvFF05Q2lqKONy2LGBdIMSNohFnrYnz
J79schO9fCovGsDFLQDjfi2/9Ypo7PeUQtU0cUPUp0JRjwtCeQQYZGbZARxajEArh1kGKtmtYSZb
7nJagSh7bXyzKKpy3KfHQXGWG0Vc9lkCVB4M5lrRmKG2HMypec7ANIMirjbCatedXBiEyDp+47RC
WlcbYltCBXUAPueK/IxO/LJULOhJUaFpKxi5x3Zotd8GxY12MgjSkQRHLZHteS4udUWZZll71Sju
9KoI1CMoak8xqTXg1BmQ6pzMCX+EWm2PMEL6mmgsWaJEUmxr7K0nD9i1q6jXqeJfk6bwzBrqJKT9
Qh1505BHOrbG81RHLTO9+BtzFyQYE8vzugOw4y6HDK5I0H6Qt0Fwzx6bD8hWLChquUvBdC8xvG42
gDsXgDepHPx52tbtzkyc7nUkp+x8FoLReKE8RT3+4XzL2sbe8/s7h+LDfsShjAZvxFPnohR1NaZo
nAZb/C8wdBuUVajZecXJcwHVHfXQS/pk52sAh1AHsispa3STy6hfrXwYbhYvdfeYX6ebWq1P5sk8
WVZqbWwk4FbD16xJrV2lkg2aO+sVSRkj8nvRQIDJjAWLlJXMx8LVRCCaKjl53rzu3VFMYZUkPcne
E+BfdC9TX7x5urxq4G4FHFIXFpUZC3n/Bpeg3HZ5etk47PNN43HyxHLXkmDxXDJFpUorOqQrLCWi
FrxhzwPZOlYWlp4MRpsILrzElC8MZRgXeDw3Jr2tW8JKMibSAwvbhrxEXqCrLRcZfNfM5w4dGkwQ
Q+5Ae0+613bQ9oaFvXikcGGrgGhceCfNs8TJkLm3rWq0+aS9tC+m2+DQKMlqhcGIyRceflDGbs4s
rq135OQVrARX/a0xzCdShlDSMIsIJ1Yo+3KdOZWyXOyrAmlqx5h3j9SuCgxTvb+RU6Dei84aP96T
hXOZ8InCnTOcUr+9iSd+a10TtAUwaElWSQrWUJWfd7Bi2guSPr3NHGNrsbyBdwiicd1luz6Nl11R
FqhsE3vbpq6/qTxx5uFoDqZa3ycie9bHdj9o3d2awfrN85aN4oQQhSVmN7TYLYcihlXf7qO6PjhD
901aRGgJesktcAc+sEQfmxfeXNwXXZqf+/F4XfKKAsFJ/LCoUOtI9nUi7R8Xp9xNdn02RN77TM4S
RXlxQp00h9KY9xA87/6ZGnyfGvzPCoFOo2+//IsMrv7LnwwOfq0UDMJDEb4xHfihKfhZKZifkMSJ
H763XxWA3idD7WF8AcFApyzg/v7P4AAdoRBghBg5fOjw/47cQO18fh8csNVB8sC/SVOhlA9/qBQK
d/UVOOUqHxNi4zZtU+mnfDbsU8kOI92kTvF5SSX916ydeyVVeCoKwixSZxvjkGUxmN7Psj/LvPlu
1OfzJcJZVseOz2LdIxooWUlc6x+mAj1YYR1F4lC0R9DLlK9/nk9OTZb9DGwhWek6CkbX5HmwinX9
GRez9c3yZL+ZPiCiCPU2xM+YYZtp3DweIqM09Yh1YPJHLsPz4rB17XJ7CRkuFlsk5PdA9LAADBqx
3lj8rRoR8TL1JEw33N5l9EhM9bY34ZDgStqKZHp1UKmnUVNsheG+YXVJNqOTPDnNzGbXpTRAWD00
zL7JMHtypL333HrdRJO1iwk8CKyuOJjOKLZj5R26GfDtYo9twCLjdami16Kfr/QqbgCe98+J7ieb
ws72xCwfmbiXO2NWyoeRaaUn668SMcN2Nsqnmp0qbRyD3mjo353IXC+7bPmS1CI6YwhMiKIwOU+k
E2qlZwCQcdHbEcG3SZDKBRU35X6asjNDNCNNAtMahqZtvyMKcrPaLgDDyK12aEMQiJDIF3oxvYr0
V4gKZtldLLo3bzNqhx0gu3obAdXZ9Lg4g7bLYnYtxAQuehKFpd4lZ/TJ+d7zp/7OFOP6gOsx3lY6
0VrURfoFnjAoG1OWPVct/iQm1M4TXXVxi+yxuY6pTI/IIObzxo/o9Za8OingDMsD207Po6kEaadV
M0CwNcdqUAAjn71E87i5teZYmjpsdqD2cTzVn/WFF34fwfd/0VJffrM9+uvCN0kvg7AHLczbLIVJ
om7KwGlUYN2uJVMN0i4XH6/6BDVSnneQeHWF5NWa4bJVkN5I4XqB5iAbUQhfV8F8bai+tsL7NoVO
OqgC/kL+JTJQAkoHVlkqLLCjAMGrnUG0UdBgV+GDqw+SsJncuajXGbIDGa4Ubpid0vjgEzx4dCrw
g7HCEgOYhFYCqXhWyGJy6bazghj/c5h/P8xZF/91u7d9z/91ySP/Jz0fY9n/9HzWJz709G3Gv1Hc
v/R8NttuRFsstP4Nrvm5Imd5rtPPIQ4jtFU3FSLi3ye5DXcXCxaEGsexuAVIT/obJzlXzG/nOLo1
ZtDoxUmlQJ2ibN6/dnx9NKRdvpbmdclGRM+Sc1dmG2tcwl9emevv0sdfWfCm9/uFwW9CtayuLObd
sOzEHyfNZIlmLAiz6VoIsl56ouvsUFBAFQnZXpUpYRJOLmuPvrryl+G8yerProm3qcafupnA14ZZ
a2RnYyt8qJrI0izwW4EmagXdaZ+mrq438EQBUKvNdtzld3iUvI1Z59eVnuCXccGreo3ZbD0S6DYW
zQFbU++sIarCZ6e/KbFFbDGWsQ3Oyl3kjDvTFv12AHuz7TAJ1a79qHnuhW8PPk2X9RTbeUV+hrhj
xnSrFfOlponLPsFmhMsFZoVH++iPl1NUoCD2jc8EwsDlkuO4NVU7OIz9jdBWyq7h0fdwFEn3RRYL
jEYGQtngkmW0JNeijc4c4tt24I8Ojh+19JLEWlht+7ly5CHxaMbzOD5jtvBaTnG2Gwu95tgAk5NX
M2YthKdBzqxrZ/TrCxxBdXqnV7bHwbzkQH0J5GggS6LB/tx28qKaiyGojOXWbYY91cSB4aqGBoDc
0Ylmgg6diNHYFHfagsq9oD/duP6L3zPkRNM9NNxS3WBnAQ/EFlWky/uX7hlvfvMWxs26Iy60cSBM
p0SC0KAKM1AumxPhhwvyrSk2kl1m5NdkDaY7y5r2a2FfSBnJoDfsvT/y2sYTAmPNEeO2bvwXSpAD
Yo3bqlyXrbV2D4mDN1mSOxdYfX7XTcMRsf24bS39Tc8XGchpeciTRJAKu16ZM+biLk5HIvLar0Zu
fjXB2W6y2TiQSnGEPmCQOzXt0WrcFIQIYwVyzl1rLTdOXr6taf0Uu10MB7e6J/Ep3dqNCxB3sPYI
FAjpiHasYknA4xHD8GxPcWjMcfMFP5Zsd6un9ctGOLQdhj5nyYjCuqX/taem3OrutIOupvauIHPz
XOC2XYyNHjFatK2vzFeOiTB248qkGTxqPT5kwlLb4cmgsxIJjKcByPA2S82jxagUv+Jlr+boXvOF
3LJbI9PewWoTuEIWUcXTiB5gpB7retzV05ae2ThCFUHZMI3nXksMmEaFJZKMpr0bE3bdcnp2Urej
easvZKJHm66eyUpjlGl3QEdgOvXdYZr6JxKVmYL66WZMdZI5q4vM4SNrldk1mAHEctpxzRFyxDKO
w3VekNyMyVdnWgpwsvSX82Dcxr2zn6v+PSPRDCU123GnfqIPAoFwjG24Kb12WBz3C4CWl1XgScEi
0gVL/pLbd+PUoVMYTnUlg5xmnMCQjbljph37ds/c1Qonyz6MJtp6I0YTstbj3nLTfqcbKGXkaL+U
EFKQ1E/bSGtbmFE18sTyaqmmZxjbKCYW+6Hvde+i1sgcvlflkfRg9B4qs4AT+v8co7+rfNUpynWB
aphzSLkWlJv21+O66zrLjhZnuZ5Q7wf2PjrNd9XFMe0D7Uv5WIfwuDdREJ2RHYL3a28d//f3V3Kp
X3Tt37+9yvQQyJYEO/rfv30bDWLUnGG9Ht0vdXT09R7k7YsG+fbvfx+TGSReJd2x9Q9j0K9zyJ47
KyH689pIzmNq6Dx/9+VxGrr/5/v8fvt9fzl5PbkDISq5YBF+/30aljiCAB/92hFnrQMwjLG+/fi/
fxf7z96zX3+ZP3yTIdb1zgQldj3uuge4CuF40L96WwWuuCh4xoJbNLxBsTMPny+9bR5cjhfJ7qEL
o/AmPU3BgeL+nDlRILfVjv+FD//75zP/YJD4eFMRjaPSE5ixxYc15ZcXOye+nPg63bhm/noZ3aDK
vDAe5clkN7QhFyk4PRv7eXPZ7KaDEJviDJnrDUqdHfi3zceP8g89Rz3Af11Ihvm/tlULQedPRgJ8
4Y/lAc4/wldg1BC7oPSUvy4PjE/Y+yDrAkJkFeDxiP1neUANaf/kiamR/4+RgJIZmAwfiWpQG4e/
pyXANfXb4YDW0uPf4WTSbZAkTCj+8Jw3MpqFZozdFSG5D5NCaIywNDRKX8baXXutrQq0wWX5JGwE
5TCcm6B3NRcmBlrHThvL0yrRSGYrZ7QOwYOloctgzKN9x2SxW222A4WKwaYoUkzsoWKg6iOEV2iQ
FEYI8eGMCWYvZjzgfvbhiHCrlDtnhQ3jwhjhQJCHFupIn8yP0USM35jWd22lVMta4h8MXb6VMEtm
Sz9DM3dZ6TEdm8Ka6G0KNVQYWAlhnuS4mBcFQamgobBvfo5689Q7dUc8Oa6KUeY72RD9PkyMMBES
vjqMHg69Aq20RKHv/Gp+dyrnHUNYukVKhxUBPos/W0+lWZUnhPgQ/2G4mGN8Q2IXkvm0fvPL4ooh
OR7e0d1osVNVDzPRiiFHzz7D170XoAdRRu1khYIoYjcKgvXdgRg/K0xhldd7G3Ch2063k5PJA3ME
D8S9YG8wres2TTQnHLT5yo0nSP3AEBOgiKDP2dSaRoUU0AMtq9iJKRDFfJyOltO/EL5N+rAFZxGy
+tWqyIuevoAVQ7h3PXc0w3U/r+i+uBL9czKtvq1DrMADpGV06UBa/Yy6zF7zeV8kKDqaJPWPNTz4
GyszP6OBAriyMKM0VVKAzKznVXeDGtC6P9wPTi4vyfesT6tetEQpa9kBfFs4pfqtwSabIsNjM4+k
AYZb8qCkDsj5Bi+wNNaruFHgGjg10P+KMbWmVdcyjUis6+TedLBfagykphRM0UBjlDsneyh5iRkQ
Ren8CGD/q0tGW6RhaSuNpkEUi9/D1YYvdtGx0LatZ83MXyivQXNKd7/4NoEIcXowdYQSLm7MGY6w
ZlrQHog3WMpsO6cuqKTs3IncC2PQ6FYWwPosgfS88sJx8JzAEQvKuIxN2ailb4ajPQkThV483+Zx
f76M2j36mZee65ImwYfeop01M843K/o8l+nZMiGmbyLzQRbkg8ZtdB/N7lmf8grVpsTbWFO3Zp5/
WZr2c+ROn3E0rUEucQzMGiW1m+ivne3fTm16KdVaJFKQKXe8mgz71gJzHBRwGVqyMAim2tied5K4
OwZnOqs18SqX/kG1K7IUqH4FcX7rwWKkXeuY8bNueRKD5+1TqRWkhCBl45irGVBrTOmUNDGaR6Zq
SfvUdsXJ8seLzDKPsb4+DCUy2pEs8U1jTUegb8mGBxZBsZbforp9ra0CiV6WtwGBB3uVnR2io/NC
DB9dyOyy2BE+fVhtpDb4fFIC6evN3AEAMpEVqxOXU8qowswerytgyIGJcWI3jMuN1EEfGQSs6rwE
nEk31uJcpIP/Bp2EZ8t1PpsOWYp2k26sAZXouNTMtdQR18Yr0FP9zvTLXe7GiF3qrgg6JN4+O6VD
gUIE8zOKn6J3Ng7P27DKO0O3X90CJaA0vQvyrKK9lJq2o3+/JRWxRd6cGUTJu69m4mahUeZQAZwa
R6dGrn1i2ipNdpehRGz7NbpLG5Jgkta4L5MRsxeRwm91rGHxGseQHCa4rMkjiXxXrR8fiBP5tlIC
hz0iKCS+OpLrhsDApBOaH9A3F48FWnZ5sZpyCXpnrEIG2GfCa+99RfRpFdtnXauXamXxUNujRWrX
+hSNsH3csXt1eq3ZrEN7DU//MgYaZAEPmoEIGYomZJXtKV/NMJN2Hg69uAEedDH4GqNVxSJKgRJ5
wIl0jRFlq3hF2Gh0Kvnh3gJllETMpUEbpYpxlIER5qdZn3yFP2qWh0KwWZvSa54HXgRASQXApFUw
yuyVWHzUMSMpqtLs93clmCXD6U462CVbnz+XJvNmW1w7YJlqMkYYv/KpVsQmN3doyxTFyXeY5CUp
y6JSx7rCGbudkvpQAn9qFQXKZXsmUwePjCJECcWKAhgFNapOj6viSGnZdCw/yFKKMYWhwDwiA062
viJQVYpFlelYggnaMgI5MyZQxKp/qrLv4z0qlL+uynZoh8s/K8n4qp8lGehpAg1A0YMesnSbau3n
lgZ5J6m+JmWVzt9Q/PofJZmLnkO4bHY+xncf1dqPkkyAcEDX6QrX/A5F+juzPRcP6a/9GiWZz7oH
TzkLdlIXUI/83t9kBeaAuY/cSzKeT7JvxvKin8yFpX8x1nW1LZNh3XtT122KuJDzQ+Wr5LjKZwnN
tRA/z1Z3V8TNso27MgN3OuyZb2/pw5lM6KXJUDp3gspPXy1UcnxQRRIuWtdsy1VcYgCCZ5Nrz9VU
3GJ3eZyGyshuevwmd1gRDv40g0KMUD3zSZZ6ol1mEatbPKoN1gpNPi91H19HUZw413G+uNcsdhm2
2OSAWwHsmL7aiqjQy3vH1axdxDk1heSVRv1Vo6G3eBi4iEcwftNjZvoxlJisOiQxEVJcwe3FlNqn
aRC3iAcW9Nrlg77m94ONYr2K6zdTqUudeGD1QtZg26ecZ9ZrXKZstzX70hlMBKPzwxATpmRREGqj
ttUKjgCpRJV2XRtbb5mQepVwWAw7fkTD5zEnypC5iTtguFcATEmc0ZKvpu/eF4P9TrZJEnYFL4rw
+hvXyrj7EDUeJv79wCQU52WxJPckASv6yoymUaO2Ivfum9wwd1UJcam0eqisqXmIoXKX49hu8Ykf
rZgAFEGSC6YCl4gi2EyhmTY5B8dyYq1+E5kDe3ErZuVgm4cqY9BkehlJpctsHhdgFYE26F/1yt96
Q1dstEhECBa7PaHAX2RcnTm+e9ZZpLujoGGXtfoYJRHw+3G3myPtq/DXXa7PR9Dfl7LF44F3aVu3
QFpJb2GBEtXf+orJjJNMRDppxdsU+zN7nPKJR7oPTB+mv6NKfx6vGxSTPbKK6rIXBLHaa3Sd+4xR
JWA+GRu3UY29eeBGDfS5FaThjOCeuHRjUT0NqQmmQPannnewJ0WWlMNkPwt0yo7eVOFa2seCROK5
EY9G11/6fXKfEv+0SfTuoZDxbWzHCVLIYW9I5TJ2eisY4/Z2caN7zBc3azPwETFYdi0Gsgo/SZat
0UbXA97SJY80loDaW9toxBvYdbZfBJfUavg5GmsWflJ0LAV1e/t/7J1JU9xI2K3/yo27V4dSU0qL
u/hqnguMwYaNAjBIqXmefv19hD93u8eI3ve23QUFlDLf4ZznCGucDnkBjmfMUa+4yKuKNjOXaZc0
mIX6E5rfb6RFHlTrwnqv1dmJCnaFujySryi2OsZnuO4lYHIrXVkiwoxZ9JvRa65eZX3ttFBf8qh3
i2hMnWXYmu/p2E6LuMg/tVOxbEj7meb8RymHaWFlOYrBuLs3+inbaRafTn8u6epEvSWjMXE5yq92
b98ZzDD3XR4zda6MPW2iuQIUdwo7zFuOxZBYR+mx6cvoqgIH8H38KU26SxDy2e5DCSY1itcq9W6M
ICs3TkI/0Rc9k+lqGBdl5nzuBZtXvdLffcN60s3kFeDdvuxN7vmgoZ/QjDer1h7qWUWRpulDCmxk
bXjt3Tg2Yquc9DEfraOt5aONfXgM8bZLa3Buzcgt5ErVOpESYfli9sRxGjaodDApi9YmpU8biKmI
6a666aUyjcfS9cydp8/qKU/eTG2XkfIXIv6tMF85FjWwF46vgAzrvS4b6M0N7oxCT3ajno+LVpKt
h63uqUBS0aQEvfWhixa59ftV1TJCjgpQX5nSLx165DVT3bduGsnYtqksI6NbdT45w3GcITHSLHy4
bekR40zHhsfqldF6uhQ1nHzd7+2LGmwFQqIcWHkYIcCp8lOfUcCMLip0MSG2UdnA30mB7jTHlbKj
cTVGYXFOZb8fU/8pzYZhlWoWFBeJo2tA2bYk4fDVkRldmB9NazvzN4Fljjsnq8p9XlibGMn6KoSx
tnFdGj/Ow2mbReVT5dqbrNLwx/jbnJL9NtSUA0VUeeAie1hqTUq0okZ+CU2Of+vgkN/IUuwhaJzY
p6OzTyN3S58MXha/59LvxvEQtu23GKrqBniceTAKE0k8CuN1PATZLsyy6X7qU/42/ahtbBwFC43i
fhEYiGntptubYEEWQrgTK+zuGCTewfemo6amdAUvsNr48XRbpf4KQ+adqxFyONV0emGLfp/6/6Zo
w8+ZweIhJhFqU5jUYW2oVcvIbF6dErVDSjLvdnBZYI0COQJwFmjdSXjTKPZtPsTyOFfdtiimo9n4
J3i0q7hkTMiKfG1GJYRBZhQL9D0Xz45eXSwXSe0zkJAebaqj2VjIbeCf7rhmaczYeQLDruv9g2jj
5zzWbpJK3cXAZwke1J11VAmgdFbxlkzyPUh1a9OYVr2qlMWXxN236hMiFhXdV9eqi++12AGE3q36
svKXuR8fyQ/UAb5EwUMZIqnq/UeHZmph8OjKJH2v0ubRNjUoMs2l+NiGICrzbcNbC4/VBKChB/zf
7PoUuw5D024nHVyilqizQJKA4TU+JsgplhZ3qq11HGBCINGrd7L1T64/pgRCjgecht6qjDWA9dmX
dKwuQwarwhlTnPBEqPEHPZS1OIIS+KYV7ns/0D46TFCyUtv5dfTG8m9Tt3mzrWWxrgv+tc+1Bz3S
T1NwTEmLqlqJOj4GUh+9hDWHb4daJarkHkPr/Klxg2XtVIep7uncSBtUKZ16xOhnmPg8K9+gLTas
N5PIjwVr0DsVBfzPHOAdAlhVkXZvkcaA78RVWyq3JyqwvRpILqbSYWflHCY7TwnsU1endIGv91+E
yRcvBiANfnSMmVptzbR5RQH4JZDgEguU6rpMUetnD8LkwvPIA7VDgYjEhakfq/uq72lHa9IitKK8
KZR3wtHPFhUXSasheJTA/9kKpltccfSlBkGmok8XdBeI28n02GDlZfYzseDD5HOXdiU/mpt165C6
E3iDQkFiztVDtZdmeOjH6D0UttoEvQs0MNrm07YGbWmQSTlmKzGcXC3+HCYdK1/LSpeswbdR1EF9
lhQy5vRiQrB0+uDFddQJTkdFyaGH/LHKZ8DEuBWNPrK5iLvqyOPzORgZq9G/PQhUtfgQoENUa3dn
BsnOwD/cNfHKd83iNnOqFDxwphzsBYCMtC9hl+c68URZXR3Y+fUpc6++c7tNnnTaeDvy18l0W2kr
y2d7FEyyVyvXiw85bObFACAM0V+1nbyAhj7XNpqMilUWa/1GWfmKXMp25XeQSF0B7N7twKqMgVij
8r03q+yut2CDsM15L6Pqi6WkjZ1P8JMSUO/Z3j6U1jNgsJtBefYilEW8DFWTLqm76mUcW2iB+pl+
yWCE62SkLtS52GquNP5+89+O2hxQIoKckLhV8laSwloNjbx0jSLOSp5mXdciq6Nn4Y0r4AknQrOp
bvLihbsF1zj0lDhz72ulrEPT6m+T32XbKdLxK3XuzuraGxxdRGiH03aglVhQ1/Qrx8++VX0KFTWE
MqPn06YEfWGVySeDhM2swXxlpznU1NQ/eaDN5Ghz2eFJ3rUdT3Rk8A0BbC9jC+lkLVjb1pOzwLu9
LQCMsXSPn+ISFXF4jQmJjOxx0Q9owyqcyp7bXTSEN4wom2tqR9/wv7MyEVjYRnXJA/1ik86SZN3F
Mq4OozoNQmRVacGh0/MvcR/sm1A9NrK5L8jkRLepr91qOzjyjq3okrr3MpbGkyqIw641TsY02E+j
nPZRmzzxBu/DubWX1ILrkOTfI6fCkwVe8Us6dQGs5+g4kFuwqrsoR0E0nftuxELkiK9Fp7O3jG/7
PnuOCxdbHDSodCTB1M5Pygy/pD0z0P8a+o+GHinMPzT057fq9Q3yBwBG1Yz7b//v/343dcyv+tHQ
zyEFNosU+7eUqV8bevGLweIFAjCqR5Rq9Pq/NfSOicoefBthdXg2abN/NPTOL4heTDlnV8EfQ4Xx
bxp6gBp/bOhJJMPRyGCBGBjH+uMC1tSMXjRlHF8ZBjbVgR6FYZzqUksj0iKW/Tr9OOXaMipvBV7I
1kiJO0l3w36v+wApKK/C3lhEHJfhfG4WHKDIk6qjPpDD8dUPooGwFTT3TK+MJQEw1zGmKrUj+BSF
YUMkpZmnRbwOWtIt4EQ+43Xmvq7iY6FPN5mD0kH61QOF3JZZ/LRpXcKf9P4bC5lPrFf5AuZU7ILB
3jDQzndW7d02QfTeESO3BknErFVQqxRweNDLpDeaRRpzQ9LxLMq4url/ixRovu/ZCQQOqIGhcned
gzg8jZHZgRm2UIdyp6PWw+2UgOUou7VnW9GuMEEdelCQKDp9Z52W4dcW+jylNd1YEENMnwodI12Y
JYtWMzWm/04T7ojzDOCgF4xYFwYqdcwqWrJD7MiynRTWbS1EcsQzE3ySjRy+OF3F8y5TGu2BdECS
vci5EUpcUBYeysEybshzYfBSc2Y7pWy2lYrqTZinTIwB6qHXjtwvvldCHzTMaYUhAWFIJ2Cgz8zq
QyQqPH1tYx7doqJzTWH9BLyHrFQHS2oOmRJxrcUbg166G2UsXgS5zKsW0YQso+gcMstE403YDRHQ
IQp+NK3TRrfTWwslO+qKedJuVvFbkrdfyjo+5boerOgHtglkpKW07TMpWOdaM/ggQZ60i+TTELKy
MqpHQ4tPUU/qQGmkn016uzV90atFyYG06ZKlA4lkYUMGIX2Gwq+GDxJXhh1G01nYOpG4cb+Oi8hZ
mhZZEPEY7tuUkmvwwZEM8E7X6RS8TgOqGB8uB+3XPLlH2L+wSQFfYkR6ZQhVYcDTYy71hvBleIat
ABKVjvfBQMrZ2GT2SnUYZwktMBd4iy6N01Ps63a+w+2EQMkN1oPi/4z4uqHw1pKZ/ZLLFXq+TeKR
O6EPHUPVrfRBv0ibxPaYhcNiLGIGw8C3HGQLy8Ymgl0ltbbQU+PJGYji9cf8rpcDic9j7y39DPt+
iZCJHRz+Ht3ycBHKt9QPvrHrSdi2JEvWMoQCaNFNa2dYfwiPE3oruYrGdJ0LcuazvPc2Lh99XVjB
KtNhL698m7n1QgvyqWfsjG36kNVN/vm/++Pj/hCs1P9+ILxPi7dKPSd/vkHm1/24QQRhp7M2h0WN
PUd7Idz8cYMIB3k++3nX+G7e51U/bhAiTU1gvyjqeSG8yp9uEOMXlKNMcEGEssWHk/9vbhBGzH+4
QVB5WNgDmI/A4+fG4v39rCCSYVllg1aO58FkTAmQVUfTWEhEk+/6NGW2zrhTb3LMKoyUpl3uxHGf
sXyLsJI6VvzJNyj0XPZAu0p0cgSUY7wCMKuXuec/o9C84yRNb7g1QhabjrEBVBYsuCPrc+4472HB
2ROnCM9JHFYb+ndzLWuM2DyHkgNQ2KeJYmuvZUlTLpBgZeNycBj7RlFQXTifmbnRvzB8i4/sVrJV
XfTjBk0oWd4lR1qC+nGJ2JJxIqPvi9WNh9hWJzdv/GOqkngTax5lIVs9F1YqIHikfeNm8CTjkQYr
eGkOMSzyjxDERG1Kt0WMZ2mPiSOuhTNkBxm2n4UT6is/pcinmSiWgTdqlypyXvssmVn7UmyR3r9P
UfREx8Bez+pEuu996Z8KKxrvaZR9JlshHHmTKKswemuCyXg0yDu5nRhrbzrI6ytZJywkia0i1MfL
vCMLTrF2el07cMPpJ1tlzVYhxFwEVeucKilvXSzhd2jO9n04ftYKjqzcyqyt7ua30mHigXgUHgJI
6VWYD/l+imneLL0H4zTG2kmE4NrkCG/xsSsCprW6GR8bfxQNgeUfibgTJrfqGvK366BIqfMoVMls
OBD4/Fh465xrrqc118L1SMPFoaLZ+6IZjc+a0SYKp2Y8HYgL8K6KRWi5yCeXropwE9O/ejRYNDix
994JLz4ZzJqB3E13uCCwlv13en0/vf6x+t1n418ss8RPta+wf3GoLlFpW+4fllnwyFGw6wbC8/+l
sv16ckmOO4tkBIfoD4xs83n3o/a1fyEoRP7I+5oJJ/9CqC6c3+vokMLDRDHn9wA1wkSrRgH+88ll
hkkBOFA2lzR2QtI7ErUa8tRyp1vEqxPzA+WFBBGvrbDTQ/aiHfWELRpDsCclEKMnCVWZyZEU4HK8
ok+x6bldMJ4VCo3BKcEA2UlobhGKszYjbTRRNUNKP+qMleZ7efY0VU5r3ci29apsJYEfkVFj2z1J
FUIro/pZTmAzJvbfsDaYKwxV59ULnI/VNqoL7xyWergPIMYtyr637su8QGvBkrlsc1hwVhylK1H2
3ZEkpHHDBiq7yCRuPwkn7l/0zLYLZEBh8NJZ1bBJaj094fzI12i7/Uuk2dYGSUjIpkSgKXR7c6T+
N4jUavP+HGeyvwg24KuKbUves0djimJUz7CJ6mXSMGRZhozq9iFewM+YgRnKhJkN9T/xtl2Y9Ccw
awuf7f02oSL/5E46iT/zOippdQjQroA+ZDcNOw4iWS8VaqlNjLGANFTBbKCukQktTDZo/JmaHfRj
dtSiQFfveaHxREMw3YTTRF0fG63xElskr7VlHezHOKq/mnZtQjkwGJkWXrCa3LS9tm38yq8025ee
I+5ErfRkGeGnOFs982SbgLXLmMbBKhhtdbFVXW89YGBr4kfcy1Qq8hHKLGLB9cEbDcZXZjHJCdlA
/dCmeQs+IsoQpCkD76ZI2A+F+DUJYEXtASz+VmCT3nD21TemMosV45H8yIS1O9Z1fGBQOaGz1txN
CSb2vSfGYecWaXAYYE3z3iKpnbGT6hgfavwD+ci6pmk4wsvRpWcKWOFY6LEWMFsbwhwMzz8kleY8
IHj4gh7NOBmaW1x5+/5Gi1HH17nBJLeq9Os4hWjF3T7aB4rhXI7K6WzVxfgphPO66uq+XI+qxdHZ
Tf6mRjQX/Heyfp8QzG3239eFn9/C5/T5z1Xh/KofVaGBaQenDrGCM8/pY+X/oyo0AD845BugPsYE
/lEw/m9VCCeTUo0oA5RSnMuoc387Wz0OZATL6C1ZveAf+lfZSfiR/lAV8sYcW8zfywNRNMOof3e2
ohUy9YS3ce28MK5JDTGBKjHtnyl2LTg7Aex3nspjUgc+N8zMu3ym3wkweI0dO8uCJ2UTRONnV8vL
bRshNMsEh1vuQOQBqBd8oPWmD8ye4+SttjKB79X0U59Am/Rbp3L8U2iNDvhmuXJKw1wWsqvO8K7b
hQ2xcDNI8dL49btO+7sr+gz87QwAdHK2JQooIO77WzlTAsuZFxjEkAP1JGM06+LdTmauYNBSJo4e
TOGUd+UO8SYKWm0nZh5hNJMJXRCFIjMG9JidrxZNFnU7h/4fWDWjhsYkYgKNgrj6BpE6w0w/bGYO
ohTcFwXfflJJtqjI9OC70IlO3JeLilDYlWf250T6RKyEBxYWu6bC49NkBmQoszw6ASdL3nSo+vzo
U24z4XVImNV0+JYOKy0IMeN2whvDcoLRNiabZRU6/lp3tftiqu+8qtoVoe7ubbZHBK3ihHG8L2Yp
X/Mqv5RYiUGOhge6jBu78T8H3UzhwDPaUW9VBXHTrXe2675eGTUBGyKz5LZI8q9RnxycTD0OUVOT
e6O9D4GLprXxNirpnuzMeysyWe6RN6hllDUutgx+LXAp6R2wc5yUoqSPSQB/gstz447RQ6xL4nBT
mvckIz9Kcz0GVlh3CICqmZwAo3GGZQ5WDK2Xatliq5BEvPIhNz2Uvzp2pcF1wBHow+d8Zj8mBkI5
1RGgmE2im8UmsHms9qaoKcR1YtzX1dQygWi+dmH8LQ0ya+Ob4lvhx2wMh7A5ZKhbfUgCmyCT3cYZ
TB/mGAmaMR/XbaujaUGHnLJdFyUbB8vca63nbQOXIEbTzXkQcvd9xNJsxfWLWbBl8fxerkUE7ah1
6ne8pw7vds4Bc+lLiixONmqS3Cc+mujKI6tJ8Yz4A/ilLkcT6BPrbiYIC/qx24Iw8FahO1zNzt8Z
dkY2V3Z1YnevaWrTGqT6AC8/e3zN2mruCtCCSweZTJw6X6SHVjhjHdib7HQRrKIQxj5UKiRPzVeZ
0L/kA3jpPCq8dS3RbuReA2o7yjZ5XJwNo93WWnpfBy0BjcGpSYt0J4x6qYzxxki6ndUyX5I91JVq
GK5pYsDm0JPHsOa2dQrmc3ov91EpT4aXXlRTUDaYZB/WDL3zOOZCdRqin0PhLmkfFHG+6mS06iTS
4jHhiqV+qVnbCf8edMyXtqrJqI6tLRN0D5WsYG0cYnKuMliQUKFZI7U0KUBtIcOjJNfG9FPv+F8m
MuAY3GEamZD1TA2vC9JkwMKWrHAo7f2peisz01ob08yqwuumMzdZhiNASY9f67JrPoQ7t00/I2NV
O84gS2sVd8A+2Dq/46s8WkqdVIi4ZkhYHyVZudJT9Tg55mefSmBZsa5flg1hY3EkPtmu9ygAvC0C
M7s1NOSlYnLfHa/dNhOTxTJz/TXo19sqbLd+Znzuwvqsdxr9c+EeVEUr6Mv0NsEghmpaO4R9cq/s
hg61GQ7OiEY4SJBfDgxk0ffATM36mPpwIHlCD89ThtjCBlq+0qrkPZj8z2URgPMRRswPFxbbIYy+
VYV9DXKyJnW3n1aWZHqZ4Rw49gTE7RqXlXyPEGAqqbmx5621rqGI9YK7wVTr1tB21EhHz0s7Kr/q
gAoOyaKAu0cG2Lg1ewexl5OTO5uOX9NqTgzVn0vmpNvBCNul23coq9J7POCniRJuAatibXXWhhRT
oJnuURXVLqp9SMl8iKBvODgBLH07SvE6ieJsB5zZ5IysHeBbpajemkidm6F8noZgTfQOWqOxXWJe
eAR+Q7SrC1mm99d+DEG+4TQNmo3V8SHAQcfJTTiHAi5ixxnjuFF+Llp1Jr/rLW44KJXpzNGUcsfD
zWh2YodtEh4z1B562QkBudU/JHxuWY5aQH16dlpzdC8P2m1lg/Jw5JRv9TF45u6sYLGEuNXDMcdD
aTpXl+Jxq0G421Z1RcyQuLOzlkn25N0L2TxGcegjIAZBVMPWXySyIKR3wB5huC+m74I/8KoN7++l
isCXZG7+jXwklCIR+7QsNKdLFrM+9RnLcuede7T34EaQ+3lgYxtYP2ah5Wsvbb8BViUqWJbfGImj
V/PqpU+uKAAxn429Ax8hGEOsDB5ZQENjAS5sSThrOMHAkV1CqfOUFRhv8fpjWQ92I6oiZj0vpsai
u9eyuzGfyPjWoifGLa82eHnAienW95nGRwBV2DjeCRuVMYJAeZg01vINgGEOcWCFlEZE907j0tFE
ffUmi1I/fY/1OF+6aX8dUKDBcAlOugnt1muKd1cDkMSc9ZF1v1hrZcrgJHOe49C2F0WgfdXL1r+t
3OzMaV57/tkifzxkTawtkzZ09/pHPnn+Pay8UnoAqVmV3bTWPxLN/5tQfJ9QQEb9+zr6+FZlf66i
xU80VSGZhTp41CC6SzEv036drbK4w8UuqJd15pofBeyP2SpjCM8Vlid0yluK759mqxYTClS6OnsL
h+gUXPb/YkIheWc/uSNnta3jsvybN3M4F+G7/b6IlqIIdHJPmousJZ4TvAq4I0KDkMnS8sAuuc/U
kv2mnEneYpwiYg3T2m2Rd0llRI/KQAZ2Df28LfeWqosUD2fEggHvRCtvCquq+pusLy6FGavP6DaQ
n/M4SwTwU83wL4yezMTmYM4AeRW6z9wjIM3PH1kUMCoxrAku9kfXV5I21e4tX0uxQohGJvVjGuIy
IJYbnT0SEJPiRZH5kg1KHNKUxO67gKw3batKPzLWDf7lrWcG+kpJtCZD1zgr8sCjLUmF5bovfQE6
yRHrfignop2c6gGgRytIAx2daW3W7RisRsObhnXSIkJh+uxrSCSsQkMzV0zOuR1JwloVJB7dKceZ
Vx2yQJSSjfVWEEXa3MVmguHHmePWBsMJjW1JNbUeA+Kcp97yIMlghog4kMNc7hHImvp3I+5/TkXB
M/UPj6jKgvovnlFe9KPTxaVoScvmWRQOqs8/PKMmmzzHZMo4+5d/W384v9Bb0uQyL3Sdj+fwd0NE
nloJGdGWLE/+1RBRzoL33wzM8yPKmgW5Pis16Bk4FX//iArfbLDLS+6nSTOre4ThSYoEZUyJlA21
lhYQVLkCUR6bAHScodzqfXKra+bSQ3WaopYbGrVspO4jhHGdGsxoXrGmlR0+r9aueaCIIzwQD0C5
kSf5FN/mSN8LtuZ4gp6G3miWDFIv8LbKlTXr5ad5KRiU4UsuQ2dhzKp6tkQhLFttOSC497KIoE6D
pq5HjB8K/ytzL+7rXI9QHiYfsv0YIugynbX8HZt4dP0hX9VZ5i0Lz7OljfDLcZ4pS/lYtpIeHi0s
DD/rihcD8mpA0wybJ/UJLcw2lGP9Mk+jXRlpOzUT1IYqe9HNCrAiHitgNOm9CrRX41xk4zm38K1h
jVh6yUQsUeJ/FqV7m+Y6kMFuG023onHu+47ujsWqhUbUO/93V37clRbSj79/EO/y5PmvzCnzq348
icyc+LjzGEqmS3g/mB79OnMCIaY7rimZR/E8zP/047bEFMz/ijH4x6z/t5mT+4uOs1dnyWZ9DJ3+
1W0p3D89i5LnnWceYhmngZyZOT/P8y266MpqjfHqNkF1I9Gjf1Jo+L7miWUcCD6KH1k+yY3bdPq5
Hwsf4BJcKIEQ+0HOrKhQhxqFd13hQMh9YrUa0HiKItMt9UuShB7uVeGfYKJVtyYumEXXsf0C6IL3
T8+LYcf84TAYAIDrJmx2gnv1FbdYto2y3p/RmpAUi3p4SsMwOORliBx+No4aGTmLNd7E5ViND55R
Em9lPo9+Kg8tm9wNZob+mNGqrrkTB55hzycMQL/GZgsbS9G5eA5cTKwj6OTwhOWeSSfO09yQ9BhF
bwX2Aeu2ydJVOU3BO6LCx3AI/DX18FLFxSGiEVgOmHD3Bj4QbNDSuAlE8FWPRzwBZkXrld3aeamv
ld5o28YJJnzVrXlAsyLXwKGPbCvqvWosb6WHobWNk8xad4bh7xzRuQtlB/GhTFH5+3l3O1WM5YuE
yCcYr8QG2/Y6inECG4F3iUx7Vpnw29FaLfykelgyqRLiWteGy5nYF/syrA+tET2VhSQpOWkyhKMO
GShBcQiDcmqQcfMHI1WjQswc62B3xI66aDFqZMYMdrclSsYngaQtnrs8iM40Gm9aTLB2Sa/OwkYH
40WDFkfBHbCZ21TS0cbDsDW65MGI+sY7WWikFpWRXLtS3OSG+6AHtSRpQe0LTafxbGyUMfbaL/g+
ztzxJJ0VnOvaJv4iS4+1Kd5se94JOP0dU6RoUbPIRBFCt5Sm+lUGHp72fMv5f4oGAlV7fRuK1lhP
SSCWju8QzE64WaCu6QRxE+XhxrNSWmh7PNtjsSpi7R6SZbKaBuvo+LAfpxbhvVHhRRAMDlHQQJ1h
oTzelx479cEviDmb3aKMD8f0UsY2Z79BDv0rm7BqiSCgComZGxBYzuQzmar4JD54aO2MRkM1YwJ8
B5cWzOC0/w7j743LPx7Gp+e6fvur1uWnw5iyiBQIah/AKfjlZ0LDr4cxu4H5P6Pp+9gOMHv/sQAA
6+Bas8OQSFhb/zjCfyxXWQDoJG8Bd+AfXXai/6Z1IcDyj4WRLXhjYFWIWdYtoqV/fxh3rTdoFDz9
daTMkOuQSTTAcYk4OBgJSoX3f2wmktfWY9R18QPxLpq+ouNSzb6Y1Ewpd6b4VI9eP60jnqoJqkCR
5fjiM9OxXwfkHUzhi8qf1pz2gGtZhO4GRwTeu6enorkb67quNo2Slr/yAb57q6TIeweelzZ3B6UT
GBP4hLhHbj/lAtOCbINBrFMjqKa1JUXKGASdN+u4WDC7hdW3rbrAsu8TAS1hg0OaIASBXIqBFgsE
dhm7wRzb6L033YHVBUvNdRAgdFxDrNB3IR6Sg+a7yYvyM4fs5F5wLBVjt9YSVrjdvC9gV4LTLEUq
SN1lv3Q2e9VpSs0tikXCdu0S0qM9hu9Or3FaZO47/GqGLCmpzJKQwS3IIMRaXYvQWOb9MQywEbgz
KjdQKbkIDZEG7P6oviRDTkM0MY4+Tp9FpeNJaGdhDflM+g6sP3RpSIfPwp23lVMeHIpKS24sgoQX
QDm9rVtkb7Gc7K2ZEHpVhJ21rfNGrXXo8MC4QdxbdpvcxHpbL0l/QgrVIaksy37NPodRiWu+heie
d5SXfCzm7Kk0sPBp5gF5To72wukZ7JwpaZcwk91tSEKY7H0f3TakM5lGXb3qiePmZyJcIier8QBH
hLtUCyPSI/EJBbmTH+KeK66NML6A3mKN24+3nufb297L03U9gyPwkuKNqSx30bc+kvKp4m265tck
iw2qaEK+qsoisn6eUuZgoBZNgfC+zc1oi1W1vA3AdpDy2Te3UqGsnEZRYn0Yx5jUASPZTLo3rGti
AmYpfbEehGxxQGAw94cs3omEOR4dcLr779j8ODY5lP6hhr1Wz1nw9uducn7VjxqWiQ/OWoOvJl0L
YdxPBms0KYJT0UDH5trsLykvf9SwJnm8tJiujcdQcHvyTz+OTRN4Ip0fOu7v7ut/1U5S+P7h2JxF
L3x9tDGeweR4ZvL8XMOi4B/Zcuk+qlhBPNuUxHDJW88/akOpHzNZzyYXfWyfrCg8KH98dAOwMYWM
Xs3OFiTiMPfcOTSh3bo09YjxB5HeQ4RpaMlcI38Iqg7KLKpBUryycCQDPlIONFLMZs9W4qs3xAc+
jqPMnrnPUNMzpv0Zaj2kdSoqSRKpDQ9PptVtyirynMMoITZ4MRWszyoL0EbBtiNiIESbV71rboCQ
g+BUWG8+rD3D+4Z9BTrOfJBoZuRtko7RZz3yKIdVcEhaZHFTfqxt/TxN/a0wJzyf3s43tROZInsR
hPtBESVuOyB4JqHZoJG7lkWjFSKGc7Z6od1EXRl9Knz32MBHWTqBmyGpq8Upq3NYbRo7jNHhMqo4
LZmktdehqa9aPHAEBDzqoyXWUw6bgk0QlpYElkSByHys3mOzuVOJfockM7WX2GezG60EHWFaLBPL
YhMUTvgVB9FSYsP0yao/d1bCoicP3wlNI7ymkNB1cnfRAujxRjO9AzvYbwqXnliWk7GqqnSblfy4
BS547jzMsZN0VobIwmuHz3GniqhdoF/ZNCQlklqH1JeID3YG0Ak9yBaFAUNDaWdiQRD9sd8d28K6
rxHGyDCmah0Td0Muk+LiTAHfTayUC1kQKN6ywRWax72bGdhT6pHu/KdH8ebPwM7fy0Q/8ujpzWwg
lQ4lgfshxvoJChbpYa/HHth8Qw+LDeMM4zkcZ7vqGJOz+N/5971s5Lj6+x7+lNf/5384AZO3vxqp
8dKfDkGsHsjyqBL/LMzzkOvZ1veI1VnO9+MQtH5xKSrJFGYy5eKh++kQND4m4pSVNnQB8F//KkTs
958UIOPMz3WG3eaMpHX/FDweubJ2+8yLLm26npAa+OHWKr/89Iv5i0/jH/Gx378LkmU0MBhPONL5
9fzuoCVqj+G2HV2aPFLJKnd1PoZeNfLkkmm6jsyaHfZoCPi1nB/tfJIkk3/ssNt90ovwNlGgf+xQ
nXpdJxFkPomEy8IqEUpf6hxTPU6ZtgvPan6eW3HSOc7YV59LjrehMq8M8w96xMGZzidgpJfeRs6n
IkjEcaE4KGF79gtnPjujBlxskrTvaj5XqbA4YkEnctz6vH6YT+ARUIVz6LWJhVeP4KXRCI+MPIMG
r52omuMmQ4htWA++6cmtTGzzyUjhZGjk8G6VHofOOmzLIlnnYxl/yXOBc9sF6LALPHzZe2Fitlt0
pntxxnoE4I+1HA8FjG5ULIXpPkxGSSRmaSTbSpsceysYVUwlnDWaDsLb7LQZfRgKtnYFmaud+frF
qsbaEWtDe/z/7J3ZctRI17WvSB2ah/+wVKq57LINGPtEYYzRPKVmXf33pHm7GwwN0fGf9glBhDGq
IZXaufdaz6ow97hkCKztHv80Ej44BI6bEDNtZocehZx74Xqt8WjNkdMe9bkaKo4Rxm3lCGu6xFrK
uD2avaMnbOcwEHjwwB5t3g8O8z03n9H9dmVv7nE0EVyOqmpcdi4nElI3x9Z7X1UuABDGBQFcCnOt
11PMkA5gRRNFM+ni1nDl9b0TdHzmJ2zW7VNLfMw0Y8SbJ1dfeU2yV4BzBoyYaL2CMrtdBpIciIIN
vErzblENgvxMoT24s4fStAbQPWUmdHY25ia5dwsm1Hx1AzqlZAkEJ/F1y0yI8cmUHGwIZ4EDD3zb
dbnmlx4ukzYeMK4SQb61jWE3mqWzjie9vYmIrqDCLs6kchMm1ZabQiQ3ZmVBdu/TdWjnuyoBDRYZ
6qX1xrtOc4b30TC5XyqV+S+YVXuc7C9V0q+tol1nYaO9U5V+E9kdbLEqCzyl2GQuORTks61au/7c
tt1LmYiXOZ0/0OEFjDscvKnYsIGg0l+25gRw3R3WhkdHzNJPi4jXFCGfVKs/N4WyyUeN+htAQj8/
l3Ajouo5VHttPdq5wSkGAlJmDQ+WnXzKF9sM7BZfDJkkEXTn5UQC8d6I9DPw/vXYZw81X1/bGSRV
uE4QDvYGstWuV5eHKWyDqECc06jNygA5AWSqVPf4lNO1NlPqOM6F93hrwYdaT8kSkUATYh0f1OQc
mzZm2VC/6XI49GPTHRHzsJjhQOTNpKLg4mzgFvPR4yZSKwfCiICK7p7c2jghlrhXaEtllnPX69FN
2dQnZL1M771T0Q83sUf+jV4HZL4lnBYnsLwkkqWw4/1eVK/JYFeZkj1WmfZYZ8UhabNjlbuHtNdu
llFb5/jsmSKfMaT5Td7Mx8VxOItySHKhRjSZs+sJQfQEWSsxPjZ6kAe3WuZ9s5TlAe7J52IOSRHA
o7aeI1Bg1mRk28art2GrKbfLrDSbX++8PzGMaC4zVYpplVQobJFy//+mEohnDaCdnWOibTId0YNH
XPFAPjYo6RxlkDGunQEIREXQYFEvL1rdtDdNk6nv3AXedTVNt71IT+oUrjPPuVenbtvE9hdECBH6
AOJIoe4BSZRc+4U1TU0LbAAJ3MiBfGU2iK8dt9vh1P4Evab3cct90DGxBIPWAUlj4I/oxh8bv532
Wp2RuROWWy0VSDAGCMPVti2cz3Ne3PVOeuihGCxtfmh6/eTU1cmlON5244wxd052+hRbPnRjunY4
fGPyu5FAOui32ltz7jWfdIqDGnvc14w+T2GnYc8S0/s0GUzqur5hLejXZgIdurEp2qckOw/1chW3
6T4bra01onlKSPAOS9B8vQstonCjDS3lwIrqUx4BjHBK/TrJx2PeF9TQ8Gp4lVAm55bYBXGdpfkt
eesE65RDvrZLJUGswWFXiEtitMO6IJKD82/63iTjXNLAnjzVOSYDi2ligbrEOmVZI4EZjFERQJja
Q1rM68KAMeeZu5F9yGirz5XnnNQGi3vkKZ9DzV6oUzEr9mi8s7zQ9kot97LulDj2R13NN6o6w1Qh
EIhoBM1P2zlDgh9dGwsHnFIGWJp16u5gbvQI+QgWZagkzjkn+a/dx+fp/0Uv1U+KhB/OYnjWEdHC
3ALBQgX7pkRIFzEiuS9gV/TJ2kgPQu+/Fqr/eAVKpvrv6eFrUUybDNeUhQ+Lo+Wb6aFhLyUSrii6
ym2yHO3rpE+o8W/FSLq7wNpKoLyXBr+5AfXvfQ8/XlW+729uwL7OOqSHinJW5/IOaxeaLf7CU/Ej
3S3OYUwI/c617u3Q2A89nK5hAsuRl6MEfyQcCcXysVKcEx1/1W+LeJN7o/bJjU1nXajpexvBzDrK
5qOTmw92mE0HLaedzGoqq6BfnDJwa6VZa/UA6r2c530/OcanqoSRTTSbESRJ8pyzVoNGteM1O/C8
7jhP+LQU73ozX4ivyt4TTYFgMTIuHCI+p46346H0rhViY6M7hZNBwLgaKwHHDhpWY1luafmrfgNA
ZS1GVGROMt3qcYnhivNaY0T2Cjv/kUX/pWnxM7d1shcmFPDRfDct6T0W0IPV4eMXGcVaEpKImXZo
keze2mdLesTisC7nUF8buarygMnYZdX7AUUWrsni7MbTthRjMIQLKxiLZxcVfkxvsUoLd1UvKaHk
eXiu4RpFlrPTKnvxOTnfIaKggKuVd33HIMEwiP1cnG6r1NDEtL56sqPmLNRCKpRx2U0djIPDYIE+
GCyDEGmXHVHT3pdzvJtCyDuD6K9qm2ckrLA9fa0XBls9odOExlvmNqrNkzP+D8H8j0v8lSD+qzXO
ieLb1TbShRn0hdWWnspLdKVsmmPzARD/nviBk8ujx3/WxxXRW+fycTz+eq3LTs9PbjCaKmgHdJQ6
8gb8Zqkj7nDLzDWVc722VuVJ9+tNDzLnqNw7G7jU768V/3Q/BGDXhyf+yK/mk7o6JJvwCtFx8ZtX
8/3B5ut9ZwBct3BrcoyScv5vX8ysjiS3aWl8FauX2shXiXovhq+tv3/8uL/fs368xpv+EdZ8Jmdx
HvNwfYkEUQY3v/5Ef/oeHNjetM8Mm07a9++hmOyFaLmGh7dyaTzuB4ua8+sO9Z8WRhKs//n4fn76
TP73j+1L+Vt/ndy9P1hAOG41HWoEopdvpj7qHxhxObtzYsO8ZPOjP0/uzh9MxknswRLMiP51Ov9n
+xKcBLIVxj2I3L52Nv+FYM205fL6+2ZHDoO1xEFJygRedejyyKnQN/ebompzq3dadB16BcdZIEpd
K63ucJWIz7hnOLmqGWCvF8hLjkQwlUXEo7vfEU3wYkpI0+hZ7Iwj9l8nP054gFeLl55LLHhrDcaT
3K9XncQ+ufCfQE7jhE88LzCT+lnriSPq3P6q6yN/0IYHG4qUBk3KklipJIofbS9fKxwePvAoVwng
zo5RMYa+E5L+wcuuNj2kqkoiqyJNf4D7R6aIxFmB1WHeoNjmhrH/FyIgXlDGAZKRGCwXzbvPKeuu
yuIbMGFP0Ck+KDNaeU9CtCqLE10GV8uSgK0ekA2gAfjgrVN9cqFwxdC4GDtD0hp5i0h8s6CttQuh
y+s0Jz4FllcqoV6pIAClTXRgB+lFLY1phdKfRDIJA8upLra2WQ+roR2foVLhwdP6ZJXFLiOI2ELW
o6bvBghjSHqAQqlYoVsii09j4d218MiKQrtpy1Fs0hzGnwKzLIZdFnfTsa7A+zlj3K5M+GaRRo50
VIE8Q35TrareglKUtC5jZXV5DxCz3HmV1QPVdVLCPkGoIW1MN8BxPzMemw/REOMaKCFAtBK+Zoyu
EqAZP9kNXDYTNfhMHPLNLKFtBFp7mzniaerlhbeKJNytlJi3ylbIwyZaNXEoYpvHGYXfto0MOQ2M
OZxGDtghuHGOBMiZUN1AyYUow5slcCRmjrr4ufNiuHYSQYf9sAhyiaWb4NPlcOrsSNRndBFQjCIg
dvgmN2kC1k6Fb5eEWhcMEnmnw77j4BevHX2Y1qkE47k9MjBVwvIEg3Q/6pfnXqjGqm57ynMJ10sl
Zq+XwL0kBb23zO6Z1CBv7U72i6iBHNP0vyrHrvSNjqXMmW5aR0MCCi6iL6Up9h1668dBIv8SzlCI
Rpx817VT7rfRSIAOiMCQU58joYFjgaKMVFxMSxIp2MAWRIoyQXzMzR1RLA9eqn/itLN1JJBQn9qz
Uiig7BS3WZlQCxfohTDGSQUZnQaOeOvZN0hYOvMgM6cl9NDixDqJmWj4EXZjfD9F3PM6Wg6aJz19
dGfazEZnXJyxeEA60ELNShiptl1PuTF/mDhvczIidmVKSMUeAXpVFQk2WVaBnunH7ZijfUtgdYQC
7xOqf/sokG6T2AffGtDTu6UKr4Vdn/rJa9d9VX5JuuZONwg2190j0pybpUuPC5pwnYNzrMRnNSWx
tiJFcGXmtIMKYd6qlT2sNf7fTTNpR9eg68NhcF85kR7Qe3sYvWjXjuaRAekXG/EQiXdyazKDCs/B
oVLmJ10WeY2G7KOZOiAZ82AfkqXbuFM0AaNNna67L8n5qzZTXGN6A+hX3Rlj337gKDvSmdBBT9lq
O4idAbzjMcoq69C1dR5dAKVH7r5rFPMxRF0RnlMSc7aFl5Ei5YX3Gp2JwJp0lkYY5UEooTRmBRhr
lKCakXUXWBJewyp86M1+t8BJWNEm3MUSdONI5M2YRJhcoOC4y3I9lQBVlmJZMNEUl9yOKLMlPKeo
CUsUGQiSHrJOJJwbYROJzKxpMyMr3uUz3hYHHg89HvoJw4dGgnq4i7cu5J7F6yE3wPLxzOTYZ7Pl
17X6pE3s41UJtxYlozZq4Enw4u2aXElYa5ISpOr+DCIGHgAIoZJpebYvJa2tNconpxoYjumQ3ByQ
bkmWftJBvFXp9GkC+VY2zLUWIHChCQ2OfhzWIgBxhEKW9A2LbOcijymXLaetrTK415Fkyw1A5mxg
c0vRcaCGPueAodMo2FaaJNPlklHnFCP8fKh1seTXCUmyKyXTDiYo6UKYSzrJu5sB3xmDqvnFyNxX
B4qXpGSM5cI5SZNEJbl5GLbpNpMv3MT6lSnZelYEUVIIaHtg97DrXSowfAoANL9S7fvUHZ5TSeob
p/w4SnYfZ7JjWC/3FlA/AGHXs6T86eD+asn969N6k3gq4EEXuilkQPCBEd6GSlv1YANLfMY+6H/4
3/ka4fmd42UGybTmC/mAYjNK8qDhdsdUsggJiLb5h9MGWsPB7OAV9klM1jAIQ8922J9Jps4GiK9K
cpeHxVMD8FBnKp5182mAhZgZfNWqy3BfYhIdeImFFr2knrez4ChWCj8NISt2A4w1SIuFHm9fy6j/
6kl5sv9VPSmSump/UlHK3/umojRUkuDlBBv1psoJ6S8dkfqHgUkYboEUGDkcBf4uKNE7a1DFXTzI
r/Oev+bhDgojMJ5MbnAeO7IM/RcFJdCzHwtKD1ANFa/BXAr99/cFZSqUTHcWPb4uVOKSzzHyusdJ
U3HQWKIsowvaSOuw9I39aMfmyIFHKdFCQukkTWtx2g9ebFZ3npdYCxTVfgS0VzrdfWv0GnszBV5g
x3hMzUT5MOlgradoMf1c1zNfn+yLi4G+Jz2gH+x3UT4/jdHyRL6DuaJ5YLduASZV3ep5kVzrMzWR
ltnBNIRrGJgHTu4gY3AM+TS7Wz9S56esEbQaRviYNIIljhDF30xLE/mmK0GCk4TJuiur9/ZmJMRq
YOBbF/atOVi3BTF068yg8xhOV4srorU3aE9N2dzVhv4YuymY8VCMm7JkQIywCQh74hU+cxK6j6Z1
m9rOaXDbj9geN5ld5qdCVMc+zngUh0grzdYBUCEiUqPG2vXrJbsdmvp9Yy712RBDtYJlrWF8pn4Q
BeEeozmgZc0JYO8MhiVTGeWnEknN4tQfMWAMfqsRGtir4mVpxUwG95QHbtvvcrL7VA/rJ0+w2nFS
HhKeb5oMujmgbNgegLakfAY4PkY/Glxrl5T8zRymflV61YcS1y1b1Y1rxmu3zp+1LH5nV0C/uy41
T3DE96SX3yQ1xfdgObEfFlWIS9s+RVJSjg74Nrbtd6YAXkOf5bNdlceFMVI9u7TxVfDXZekAIh6q
FLD3dCwTDVbcSLRqVW7zRKE7b/bg47RhRZz5h9Ru6ZraY7LhaRbYNYkOFuN4ZcR9HavuhvS+4aqX
hbIzt263Eua+y+ziA+OeaS2y/mYZCBW3jPiqXIj7bRQg1+ncvxdz+ikcRvojscCrbqobR7j3AMs+
OiEyDqE95QUz/Em+DHW4VWbQEOFynWfw3hN944UXFmsFq6g/5V52WWb7MbGpzUqwwhsxEY5iUkIg
DZmPRGvQDrHSU6VXa1eyz2LFvVccTimdNSa+lk6hrwhCFMfsyqqLa7DsR7iEl6GlTsTdR1PXMTeK
0TyaigIWXX9fdGge7Mo51IN9jZjFQB/XHxWPlv7Q8PgN23du6nyCg30Gf/Kih8W7tnP2GjTkdCAm
UIX17Hc57kCr4ntAHfU510ZusQVpmDvlRJGX9jVvHrTfGH9sBKnEmlpc66F2oY21QdX6SVFC3yXT
c4XsASSTUVw6UME89uKjU3TlfWzTushn4nsVtcyPSt7XWIAh6IWQFXynKJ7QmmVBN+c3Wht+xAY+
+0gu0Q7S1vbc5ZSX3bnX8A325sNoF0+docHZ5aKjfpPWyToPIa4CDiVueGuSB2jUoKKSMD/3dIJX
pemWG3QPa1OXoBYNe78VHzxJ4Uskj699RfNNA5S+eSnBPktynycZfhowv15S/aJXwB/pRu2mydVu
y3GADr0kAdaSCTgBB6RPo13F3Fg+37l1XUqGoCVpgtSx0/0iCYNCsgZTSR3s+AiCUZIINckkhOTl
GKvoFVU4SGph9wowpGMKC76Gaqik8A3/e0x/Va3RJfnFY/ql/Fw9Jz8zX+j84p/PaV1HfgHE2dVN
cHCvPZy/ntOmbAph4sEfrpooMP56UAP8UFUdk5KHJhY34vdhbTy+DZVMd3pJ/+YhjYbnu4c0jUzV
MnSHzg9eK88hhuT7h7STdxAM9Ei51sAM9h27pmouL+HI9D2zkDL1hrph0roRM355qNu1uPVEodzo
zqDghHeq0rmNOD26EHlnY923mrjnsOjMz5bCvgndoFjp+mxu04bMHbwAyzZqR/5meuYWEoLUmo2A
0UlhC4Za8TZC0z+WdaY+R01e+I0+1ZsqdnJmxCRzDXAQaCHxbw18lKs+08VjzdwcCwL+7CUerMNY
Ooc0FWATEPlaMcemtle2vU5+x6SrqwHYmiSAIKnVB8bt83mOKiAgjhWwQQxXbonlu5Auc091DSDV
M/arEkCkyOjRV0zOjdnLApcH9UoPRR0sDD2Re7WXtC3ZL+cuf+DhN99p2n1iEgACgfMqaaJ4DS32
BmMHGUa6RiQ6pQuhrtckAD23CYxrl6Oo2ZHr4A7WGDjuxGwRZNyhBJ3GgyaZoGC2atBajSEVJJQi
7qRiPK9RMfC1KNdmg5LaijwkJ5Xhd7CaG7O1KO8rYCRs29uyNbObaVCvqzqOd15GgROy0cyE7C3J
hkdAGVa+QeoY9OWx2okwRqanO6UXTJPprulYkMyRxvjJVrjOwjsIm/V2ILxEDVjY5b4UAx6NtkoO
oa2458SEhrXC8XLOsFHjptakrVrr44dcGq1jHNeRYPI4ArcjF8V7yLQuIoir/kKZUfj42U95GBf4
YObrXJq5Y1zd8WKtGfl013NBf6OQ1m9TuNhoSngsymDvxYBBXJdW8SGd72JpHtdxkpvSTu4JjtuT
1ZOFNUvHbNLjxbNWnd4DCxDDqJvnwaqVw0xUsVahjr5YVssxVtAmUNvVZBm+3kKSqtO8O2Ffo+fH
QrtGImxvRGMBbzHZxJUKi4aQYF136beQyh7zAVGPOhHIpRC9M04SDjFE2sYyQ5egm2KjFN5nXWlP
dlrcVH3/PlSMc1s7zCx1pb4iGWbe69L6CpJip1ik7BVQRd+pRNQFrvvSKdMxyRnums5pjvEaOWm8
baY5sDnK856v3bk8WUXxuAzKkSzVUxFzEEx6KzyXLr2dwq6NTR9Hd1CAI1w6+V7AuskaviQ3phaQ
AdYKXJwVDaKniBzDVWcn19NQAT4veRgr3VBA+wPSb+d7r7MCV4inQqDJRPngQ0WxnYStpdhQ1W/q
rPHVoa2Qd6i3dTuuY9KtHOhpRACRmCIpHh0zPs7K712MUhRt7+1BdVmkXmXTmka2GrrLl7qBoLH0
e6d310ZRBHY3GXDKJmI9Mh9XwlNsG3CEhqCNEIyklntps/LWrfTPXsY9XOTGS+fNt6YCJB3953lu
CODLTL/mO2Y4DVeciT5TeH8gmQAhQvGMMPzdKNejlqV70ceXpYJ2AjfCSaM91JadU1Q+GymFhaXe
kJYBJHz2dfQaZdivFZcCZFG2FIs7LHp+Uac7u502iiV1DnrybLsy/KjeAZXxs9gJ5rq6LmvVDUq1
2gKuY6rcRxcdXEkyRLsJr1NRKSf6wps5Tzi360Q/T37DLYLlxA+FtiZK3g+7/EXkL1XY3wJ8Z0Wq
RI+QUzASqENnsF2gqZlcoxO+GcJCN927trNBX1g0NaZbc/Le5SnqVhDwLXp7dVuYwvdCjxUYAhBx
1I3rFV9mZkrscBsa535L/IntTnR923hvaPgqFvFR1TpKLPfOtuuPbtzeRgTm9cXncq5fGlVFsTVp
K8dINhA0N21IhkZkBoRP+ZER3xjAMavBuKXY/KIpZAAJdQVRhqRAdad4w85tlY0a53cpjPTOIric
V+qEwPZsqw5CBRCb2m+4Fa9az91oRnswwpkLNgExSjjyynZdNWEJ4k9/JpTqI/8VkwJ8UXNr4vpK
Y+ib8eiDDHxqy9YvXeUIlnMPggK5nQOnWWSbGCQmSXhhAwJ/JrfIdrZ6N9wXffnYNTjWamfPkAen
hUl4Rid2pUvo+VRwNLM89CkD+dXqfSXAPSkaja+JarPns/OCqOzAkVisTgc373CDef9YoykZlP4u
T5ydO4XXobHsS7M4DKF2jivmwWWfbIqcRJJQ9pDGVT26N6nwToY2PdQ2WiHB4Fj33PehsG9aeDpl
a932U6SuQPfd9cSFDzWdW7FwbrPyU24h7WbYvBoZaQi5US3VxznrjrqwiCuREKiR8zlS5lEWPSWd
rfK9qOeDpldHRYfPT2JDSOBjQgQ7Tgp/0buDYDawjCNUnYwHT/qZBvH7tCtoPiGMWXlO92Aiu9Mx
FJOPTjSN9tkuiPrumo+ZiPeqrl2z3+JYEdlWG9ujtcihOhEc/qJqD7HV1hvPyN4VooOoOGXbzNAu
OBVTTrO1RCUbG8SruxBU2agrRZAsFah9GpLRSBjHrK+zHB1OXF7oc2/TcALTNX+uFTSGZCR0ICKl
65o7ACNkOjhB30eBiJXSpxtP56z3i5yHxAQMbFDcz8NgbWASQnByNok6BWVF5HnR0hiNpmUzFeVx
7qKj6Kx3jJt41gDRKVvOZ0lGsOuoHIjfZK3T6oPwLbRqnyvdeaFF0or6GeEQkqkWhnQ+IVinp1qo
PP6+KWl/IqV5MzZ+rRBp7hAcbMgp/NvRdzcKIfqkVK7VgtlHtqqyW4Ue4q8vIvU4fw8fv5ahDPo1
TTVMSttX1v03w0fGdqrN5FS5ntxPgvlB/zBVXyIspBigfn2lnxW8317pjTKoCqtZW0KupLtXMOZW
tYNnYNlX9oe0f0wq2//15X766XE3oVTmMMjI7Pv6Wmcc4oZ5FV0G5bHrjw2hwvnzry/xs3dEtUyx
zGUM8+3gNrSdSfVAk18G04ee189zkJMTUUTbBLam3l39+nI/eUem5nFogaxCV89+c2KQIzR9Vrvk
Ah9ilRg4qkCMZL95T2+0EHLRfXeRNzqnNlQ6yw65SEo3rROn1IvX/39vQ77Nb1bc0C20QEiHuDAy
tFHEZdW7kPHjry/yRiT2w9t48+3X2ZzVQ9Eml0kxVigKvYRY05YN7oFgWhuUWd/+5oo/+3YYXUOP
tKBEYjH9/m1liVskJSzEi9Pc4IsGmbd3wi+/flc/uwZGVBtgAOsAVOD31wgtQ7HdQaSXso0JmVg7
ZeWP+ftfX+RnHx0UdOIYDM1wdO/NRSqi4JwkmVK+n4fSPsWcFFM2A4+02v5oMkscw5tfX1GuqTd7
EFvc31d882WhnUNrq82M6CdUWO29QQH16yto339y0pxraY40qtEQt7lf32w+bWXiEp204pKexL7b
8/A8V74VWDfxreWXQbIBgrf59TW/v+Trzvrdu3pzScQXxYTxMb0MNuI6eo86SBy92v36Kj//7Gj0
qzw5Ldt6823ZC+SJDgXhJWw8X2ca63a/+ezkp//220E6w2rzPCRMbxd2DYoFgQoRCA5H39nVqTYf
ExMGWJr+5r387BP79kpvNjhOxJWgpZleNOsldm+s8K5ZfrO9/fwSkC40D7MO3u3v76BEywbXJMP8
UpbXFqq2iWRgvbd/86j72S3EYvvrKm+++kwMcTdHXCXJnnMizwwlEObGyno/6y4Kwe3Wb76jH94W
hnEYHqbKEAnKlvlm4gOf2KkLp8ov3bBtxONoB81y+y8X2ptL0Gb7dtsuh4gPNG7yCyGU2N6AR6XW
bz62H9by6yWk3Ao/k0ef7ftLpNNUKDknrUubPyvLniHBby7ww1LmAkzf4IxZNN7QFH5/AbZOZ9TK
pbhQ5xU9mql0n2CDAaL6+ln9NzyVX8k/d2UvKOKf2h/FePK3/mrJ0l2lswp9SsY3oej8ZnSq/YFe
HAADWxluYwla/t/sVDKY+REYBoc666sD+U8xngdfh6/Ss3QOzGy4/6oty0pjCfy92yHGY/6Kro9X
wWyXceybNYhmviw5qGrXVk780Y6cGvwvbpOd0zD3Tcl4i5d7fKorHaDodiT/D99IuyrAQVpVtPVC
KKZJNr3nOIHaohI39lBtPeCdPWMou5gIoG3XS78jOfehiqJDGG1oCl1rqYduDVWYT/AmKDptQecP
7QRPxvI5lzC1uYfzQt/qATYDg0FDQfk9dg9LVexG3YjWhjVckrEzggZLAj9Xj8tAbqtuGGcT0SEY
ifxDqfQzPVb1Janh4i76ZxdVNBl1GSxjfbor3Gkk4onpzKzci8XET0s+WwoujG6Md1Xa83xUSB/B
by07UIxGphA3sEXmKl6hLzhiTf5h+ywGbc0hVF8j7wBxFZr6uoixKy2V8axmH635ErcYGsDzJxbj
Z1vWmKHTCeBa42z6VsYZHaM10u11bczjXrRG5z1pCcI0INMEacXlQOqdpAHwzGiCPCVBspOsAGzY
4wqbOPwAHRmfKpkChj4IIDCSNDBL5gAjK+gDSy5uhgoiQV9T0tQOlAJdQqZbSS6IJcOgkDSDorE/
Vgt8A5xSY2BK5kElWded5CBMkogQSjaCLSkJrE2TZhHkhBSEQixZCgC5CvyGZnIOJWlh9PoW5M7g
bCfJYShRVLXrRtIZlNgIt1rWf9EluYFU6d5vJM1BA+swoORfMd3AbiOZDxrYeRJd4UBAl3rxJBmi
RxoTlJIWIcBG5JIfQfhJfnGNKAu0V7qEMieBx/R8a0r2RDa01taNm5dCciksaaFsJKsCImp04JNb
VqkkWbjg0DDUQLcIVZ74rSRelJJ9YbxiMBADZiwn2Bj1zJGkYpC6aiV+o3MVcRwlTSMa4Wp4Maci
WmrGtu7sPODLA1TaWl/om5p0hGPaS6axxZENrkOV5I7Uq8kARZv7CY4vlKawoDEpWR9RAfWjqc0h
gOEICiSVVJAUMOsn7rnoIFIdedaSlV0Q03lSiUeAKuINlki/5EU171xN028qrWmQKGKK7Ih/FUej
Jl0cmnWuaBGiTwDXpURdVzCvGbVHvrqEEhA1VkEbT74FIVuJmvtcIrNDCc+OCyCKgwRqpyp8FQfG
tgZrO5XQ7dmjaa9LEPfcu7S/6w7nQn9DbgyiBfxcPmOcZu/19gtRnI9gBDaj5HtPgL5HSfy2QH+T
gnbIzfyjxLdsjRY6eF4IuYl4Zz6KfQ9AvOI+VaQfvSvcd7gILw2o8RqREnHj1RWFw7MOjHzIlQnd
3nTpFuHuaRbvKsDlLUhbzGCwd7sCsgZwcxr4CX6NBFqwvqRgxScT5XAJf7j1hRvfRiqtGEfy0vsc
crqlLqQnppIyo+8S4OoZkHUX2LoyGc16lvz1SZLYCR9jaJtAZzdLL/mUumX5aGdduouMIcH32Bur
CezJweZ8tTJByq9Mq/jktdhrCrUvA9toLtWo3NltO25Twm8OUdlzK1eI6bN5dHlJSkernz5qPbEn
hdUY3RQAS1dwNJWbV2DKooYhMgIu2kkAaIoOeqtiXLnNI1GvXbjP6FQE4O3UZqxhTd62NrU5WNLY
lX3gnB3GmbdTP6dB2CYG7M3CDLwlJXVaWF9AMizrzFz2c5deq2VzLIz0RJlZBMao6kh3jTww1Drc
kK5B7hJQoW0ehnSMiVLb6fZkSZPJKonzBYNJom91Q2pAUl5tXHDX6iPzu7xk+gesQs6U2aVUCfoc
S96pJQZrFw9ThJBNs7cKiOJVWoC3bsgN8YlTMSEej/9zY/1X6uicPv651DnjwOPo8fI2xZJf+rPS
eYVNuXSgZEIkc2Z+9NfwmUrHcuAI6PhB5Iz570pHg1BFyhgsXM5bspr5UyRmSgwVZRPpOwxAX8uj
fyESM2W5/n2dYyJPsz02PP6vr1b/b7owTdWgSozT+NL0DGl2zSvSyXKuNZ5GKFqiV94TFMsR+FNf
g+RBRy+pUDOOKbFxX2lR4ys5iiCbHc8AI3zCa5uqASGquXLkTYPg1JgDQsDFyRRdzKxM2McbM64H
X+v1iePXYi3sgTmsZ56BCM0NPAgzXHp622wbM/CN3uFZJAAK7li7lO15aikrY8LDvmsi4aUs7BZL
WTPm4jrieUpXjJLBCSIXlfIqc2006F2vvFiJ123/q/JftRcmRfk/L/277qkkFeepb39c//I3/1z/
wKDRRzqs/lcWtPS4fbv++RFJrkS8ynPyX+vfAG8pvTDAfKjDJaD2rxvAQCXJ+scEaxDN969Vksb3
h3Rpu8FLzUvAQmq6HJ3fHAYVVzEyQeDqdU/WwHJO9RqwhWaqkq3cFdRCoMU7RgoWGq7mAn+ctG/i
NIVevBu0HO6hVpwaXTwgGzvkbXmbkMTZyUhOIw3PwJLOKI4zn9CnLc+3iBTljF7aeE/C0ouXMKCv
Bp1kc1TLNxbpn6imUwaVEB7DmJRuE2RNTnQQS3cFMgIDpjGU2icdytmEFyenTBhcdF8A1ZKDntld
RLiEwqRCHUjkWxW1wSMJkQGOPHuo9w7PqW3jeAc7J+zlnRF2DoV5MaYwdbwoNk8iTdqHdAzLdT8Y
hU4uLMGtftenR4fyEYyHZ7WII4SlrL3WFekuI6sDIJyI1CYo6IjiChmnT70tK7W8vHdqq/e7eNy6
aKO3aOGf6rAK187YTDepm48bOJwkMKkNg32w9XWc0LHAgh6THFCFw3tdDT8oYtl3/8feeSxHjmRd
+lXGZo82aLGYDYDQilptYGQKaMChxdPPh6ypv5isatLaZtvrNCYiAoD79XvP+Y4l3fRW7hX9sNPJ
Le+l9jgOxsWByOTawvTqTL2ZmvgVXj6GbUsiwqU7dVZRIF8XACuQmGIQuek7aQdjZ1UE1dkOxU9V
Q7YpDVslbvdo0bZhUB1J+Dvn6njuyvpNnpobsMRbNTHvU+D6EQ7TAIuWGfWNW2XiNhMzCxaiNSFv
BqO5qVvm4eOwS0z9MbdMlz7Nq2M3+ywZCFXINXWVOD8LpVzpmXnGybAaqPN1MaN3aE5B3FyhLnwm
adtfBusCOn5hRWcOd2gICAI3CAxo9G0zqo/zUJ5Ih3dJ2jhzLz2RDGsK7HMSlOdGcw6zZqxR7OwT
g8BuU37B1rsGEHgSWvsWlozillsfWg6KTrhHubKxzfGo9ARed4587tTIn6rkXJvqdTUBNp2leyPS
dhnnU3LGUMql+a5RyG1k4OkE1Q9Hb7y+yB4Z2N6TjHXTRtI6EMZR0+212uVnOekzDrHKcdDHt54P
gWIEVW6hHIOevBJLIUWnPYYW6rh4PAxjtCsbYnnsqf5RW+pN74w39YRVPwh749oy6k1sDtHZDPTT
ZKj5pcaktcvTrIK9p5aaIkChIsYZqwtjreOg8Eh1y5GobySAAAOoz8b5PoXjmSOmr+fa0YrD67GC
nT5yEu6zzPK1qnoh9pXHTzMxRQWbsWLYL2nBy1xnp8EZozXpZ3cpqRWapBGuo7cNhKo5RqDAdFLL
kcZIUT16opeKlRopJywVNzp+HA/fFLiCkTveJ85VIqRNg3WMHnG5hagueVKDvBdPzalNug3HP89w
SmbueFJ4OrhbKqRajpBXFY4lr9ChumjQRqOpOSx6aj1Ij1olbUjBYDhQnYWK7X+o8m9Cz7kZs+Sr
A7qPJGBoHrfmtZHZu7JNNLDxSKGLJXw5mMfWk5IO/wTEMjVCJprE4khoZ8eAVfJytXxqmVe6k4pE
Q8rnc6dopzGNv1OcI1ax1S1TaE7GMXYjgptuzEJ9aJGOSEa4taUuW2doujw5Hk4GsjW311kBaPoJ
zxEFRLIq6FyEWdU66aZjWSn0P7T4Ai/hvjc704ui8S40DZ53MF0FxX5vp5cg46eJKgL3wGPfO+Q3
M+2JHA4P0nCk5ZAdIgMYyX/3/j90l9Si/37vP5X/KLnkb/7c9WEF0ryjIWeo6Fx+lbZ/7voUxMSb
MYuBdWXKbPvvd31rAQxSEdCX1ehlv9/1kW4CdKCIINhd/s8wWZpD1f173UuKLxMgbDkWPhssHL+3
gJuZjlFndOaZ9J/5SHKhLBDY0ArRfWkklG+JPOlwTEmQ/zLfbgOrRDOY8wqC8vulkZKzExFlMm8y
idqmFS4oOUlH8dKR3r0K4RChNJwHg5Cjgfc4fBw6TIKk/4Q6HtkU8JTYNSy+wqUxYY7XXWJhnIqk
MlyzvkleNxaPqowSCmnqtl3cDU3Tt27VAwNhEckZ+0rNOujku6RQT3VBRwVSPLhW+aaYOGYrCsf1
kgggUeaHogqOyjA+TJxxgV6h7Bcip+e1Qw2PQCYUqhubSeylFtmS2WjhxbPpuHTBDOBknNnKnCtF
7jscoBoJT03qipFFjgGb8Ifc3tcINNQl1Tvu+qcWoZ6rhBkhv7KBTGq6aspiWg9mD9sEft/CmW49
zZpHP6URBN27IKXRoJlAobYCbjT5IHqwM9v9d0kfD/ja8E0hufTyQPk+jqL0Ojh+YL+2sYHkiZjd
Y2KrkAbr+qEz8I8m1XBsOuYsfUxUNy//rYQToLI6dR2kASsN5uqA+M0d48DQHfXynKjlDYRVjwHK
IYYgEQH1dnt0+opFUiONJX0Cwl1Hvd9qiFizFNq/Lnmk8+71IF/Vgt4ceCti6dsRPGJWpmsbvCP7
RXvKJbwDabaAdwBRKWH42OE1YeDt4C2btNiXzPCKowxwFqf1lKrdL2UXvr/6MSyX8J3UOEyTctuG
44pszJ6tg/yOIrkJi/4YG5qfWgS0meYc42OcMlfoUrCt0yDy5NG5Ik7dWtmV9qPMlGar4Hqim1Se
DYXM4kjD2aCl9/RuH3I6N6WoLlIk0F05ND31jHOVnSU4m/OHwbL9pT/YydqzLKgALJTv/ZDdjqmx
w6MJl3IR50U2U/apSXDoymp0ACqk+Jozg/AdhseCszDN4PZxDIYHRW/u9IaYaJDBmyJyLkljsOfQ
HDNarIhIwnBVD15npcKvUgXKHE4/re1ug2RGBJMoHQKwcBc2erit2uqmM+dnpIUvRIHG8H4mMpZJ
BVolva54utzd9zHCO4UerF+a0V6Syr1sOa8FhiBXDivVU0vlloH+Oq71O9HIG0krrwZ2KDYx7Zbw
R9u3IxnD7iidqZRPsSUkj/CX9RhnCI2tYlMo02sezuM2ncJt19c63Vzb8QoJs4KWZ+W6bYvnBEYl
vw/0tmyc7YMjTxjAFdRJ8lwvGbLrfMCFGaiZvoIlSDtJGsiXnS6KoiMkjPB91uzolnWPaC7a1zmd
JFMZf6Sxc5PodEZNssNRYtHxb+bp59Dj1qFbTMJWqOoezU4MSs0C37IA0gRZdwtjhkcHnqDLuQFX
uognRIyl4elltE3D8dWM2mLVmkWxGk0HC0Z14nxB8Nao+eVIL6leTL0G7l7YFj9r3L5hGW+nuXwu
ftmA8QNbizFY4BCWF6uwPUrwAjqsWaOq70L4yy5HIQxganJS8BoTnLqhbXaAb4hqjqDwLNlFbXUb
RNXPdjErY7U/TriXTUncicXOrE3YN+TF4uywLrI2Ip6jQb6yFiN0giO6WKzR1mKSzhjYGIttelgM
1HE/PDiLpboraWj3i826iNPncTFejziw08WKDdC4ZMag4o7Hp60OP4bFtm0tBu5i0g+RmT+PE7+o
4iAJHFoVdFr5UEPV8WjRPqiElEUh/uYpxe1JTb6Tm/Ib+FqKSJl8bR4GHDl3ouaGQXvRfCNrydUJ
i2pd5dZVD4Ah1AIFI+8gQTHsz8hrb/iqqPGjy5zrTJP1BXzTS6o7AyWw2NyJKZR3xBij+SWBbKcP
xq0qgqfIgpZVZ/GPnOrPDfQB8xIz3G2T9vdaAdkKGdOM7vdXUPJ/q6RfVdIis/j3VdIzmTJ/740s
f/NnlbSkgsgcAZFaKbaj/9YbJBWElhxlEnJkdF6/9UYcwmuRefxyizKp/KtKsv+FWEcmTMR2KJUM
6z8C0ZP28LFKQtNmQj4xaUGyODh8iPfD/haYVgG0c7yIFrmxsFvfCuq7VmVAkKhT688MOO5i2iAX
tc3z2wYE5RaOSbftUPjR3ENjiUGeokXXzuSfyCCQ89GbrOSHNpu91yKkOkRV/+Z0g7grp7JZpVU2
XkH1AguSF5bnQHxgl+ghNZEH1BaO38dRecnDijHDgAtLCVl5O3qrJCnTQW9ANuWzkm2zTOuYHzFq
MpDyTvZdyERjPeqJ6tMIiS9ZPOYeHOsXSTaHrTPYD8Wsxrg2OVZH6lSsW7z3Hkv3SAZrBghOsYP1
KLfOtipLYhkHFRV+jh1zEBb+9FADVFrMSNZDMlMaSgU4a6TudvmxIy82daTnwVAAWZadB+Uj8YxI
7OVOX6VWiHsj7PdpLR360n7g1zyVlG0wEkvGTWbHCDSNXoxef2UBpl00lI8hmNHaKDIUzSGvchjf
tjpaWC2TTFcrFAtuc7hN577aSmb+QwvxkYyFuTdrDoLtTAyvAwhl3XIYW0fBwCzPmNmYMkK4TXFb
SsFZz6Y3ewYiuoyxdaF9D6bmSmooNyD5s8S2zNSqwT5rM0r0OZjPRsktbcXo0yy4SnPtjcYKLYr0
mxQIkk0jhkHZeDHR70PRQ9mvhPg5pEHdGejocAIyDGeGfjEW2ZKa60jzzWM55vaqtDSWbCV6FuF8
rev6IamYRUrjjELsF7qPdA3PZDBvXzQ8PdobiXTGtLNahrMQTA9SABfNqxVcv5lBBiTDlh8SAeJx
Z+vIV6Y1OAesi05iEO6Z7fuEHcQymKDBJD3Sl4fd1lOLBWTJ+aEBDGAyMB9VdD4aaVZvasPAomDX
haeH6bdKJQ9kiuJpFecT5QmIblkG9kpfkR85boKdNDUVmDJsGQMvuCfzpGqhuMkKICl9rO9GG+E8
vRX5roiChlVaB2i2OIeNZCCx0sx9NRi8WZc5W0zBj2li0iahZk8N465uA8J9CzKtUs2DaXTGfZTt
Bt0wcSazk1mZucMGoV+sdiIx2a5bELOxuR5r/bZP4WUGrXGk4OEQXkyOJ8PdqbMu3itTeYB8AmWm
jLlLLQhz7alRgos0hOAO2CgJet+0VY1i2snrDcxBBgeAQe0qe4syY22Xgled10QICxswRhgRNXsO
GWKXSpSV2RJTA7VT84MluoaqLdxj8+T4YQfnvqIsAZa+UpmhMvWijaRxtgd7MF5PCjvZVAkicjCD
Yw0nNkeuWkonhH6bKQwI1VnidURVHMIlcGdaoneaJYSnShRpoy/BPGUlrk0JcsNMZo8kh09CyrUr
NYmxwyzBPhJJ8V5E1o+Exj5cwn9MUoAqXCc/G3KBoPd0+rVFVtCMuYxAi18JQv/dP/+YMHyqI7p9
LdrX/+W+1m+v/8T2WjQ5f26k9BQ4xAPeXvRB0LM4zv/ZbmD+wIhBduge0FYgpeCvdoPxLwWIKloj
0/nYbtD+RbvBRIuwbEu0L/6jeK3fBW2MGFAlLS5TNEVszKR8/b6NapEiDS2GuXOEB6w5j+Pzu7Li
6o9x3f9ir7iCL9w2/+d/679QDr+N8RiE6IDD4JCh1DWsD6q8LiB1OjDG7tzNxkpVxc9J6OeMAHOj
bn+2nMFqhmd+rjOIV6Rix8u4ratk1VmCwYBkYpgbtE1hsXs39BO6aK034rsEjxu16rEz6GI2bTq4
c5RdlF4xaDD2baVdQtyGywEJJzs/Ipsa0cJrjTMrmAPZ2I1RE/wcDPmkaWRaMjOMLV/X4+w7rOsA
16OSrXQEOvj7CH1NMom3KdW/dREI5Faho6KnUXVQUFyAFLMvlrCkVWbXT05N9A1K1YiTrj5cJeOg
4Oks27VSg6GY6uLQ1/FLqqpHQ8U65eTTkTFJtc2Kcsv6OPt1UN0FRrbRyAq2Izoa81xQCBAJQJTN
zzyVLpw0sMiC81l3OC9D0d5aSY7hXey0ynlJZWlbiG7fChn1cDddjylU4Xks3HCufTQx+8qyXgMF
0AMwLzDgkt+l8WtLrAHsMrQuTFqzMLlI+F6MAgteoD7ja8TFbm3zyjjqBQnntdqfMrzrJljPWlRb
ExOSW+rOQwIhCR5RdkWedcoxLzq0sfwsKtIMJyQiuqTfwbomo2bGqKrN+m1Mee9FzRitOjveTVlF
VHOCuTBIyHyokMOXZvrS6c5qkGsUMCFt4aLt10jg9pjHPFy5jzqO1iEyzuzLz007X9IYHETOGb0L
8o2l96doqHclGq1wTB6jHitt7gxbaN5HgOS3plICs0uyR7VoHpTAgo7arcva3NuzsZbG+oUQIOYz
rcOhu3ku+fLqlI8bCc1bCmYEmxfZ3YavpeNRgCJG5xRSlkwF/ynUYFfHGhma1gtvAbix5DkMAsZj
TZuspa7jsal+TmWytWH76pp4WYhOkiTfNkCc4E8nfj+y2RnZ25wG12muzG40hUcCS7E2YVFzdcm6
i0h5q0QXeWEcJq6cI0dRctKCyO5Z2bNlnOyxKfYxjSNfEkQ7G+Zt4uhPnWhgCqvM0TOxvD3JcCsr
yUHq4B6pFdhToxqxbyrGzWhjBu7oMx36UCYK29SalZOJHgtWHKyGhj5lq5qrmD4N1T8EkyrAp+O0
/SpC3QPRSJhwdvO6B7ydTxI5s5CQ4/NYx+axYvzjO/wUrpaK0IMKg6srKyNfjyxIDp1EWT7rDe6u
IL0pbZPhQt7JB2Eu9tNJddnZD23LGUAXza7o6CpCtIcboVbNloItWYVxd0QCAF4qFfCeCTYKxtlZ
zaMKMUnPxKpsqxINXZxdLHRVGDSlBn7HYn8OCJuep4c60F6ttNqyvp2SSCElGl4h7SbpGKSqTD9D
wUdtGiNsizK/LQ3i72jMBdljh6l06OsBML0J7hn6iZp5daL7WKk6vxTFwaosFkSFD20N10WHskBY
TGdKgHpVsEW3RIcogdrSHpEPbiID0lkmPyLd9rRO3g8IOTfFmBIZExjohxZoYGAeFNzEFGex9SYG
SfXmGY0XfOwhv0uVfFj3sbbRLPAx2szhPLLndDXHcX2a7fSsqWJLlse1UpmQBhtczdgU8eIZPkve
TgWtw4nfrHfZ1N8vLY5czT3OAF3mN5heV9PAqYM1p9sPslm+FHrLYDiWIO9Gsj91BLtwOcbEwtQv
zDzqyaPz0G/7JOo3uBSnDUt/9BhUXEHtsrsip/2osHvuO2JLmFKG54ImmJfBPEJRRgSCXlp3RlXC
0tUT5sq52qDl0oMAGXt1ZwbTnc3p4WkOCvQbXdmsDaA/rjWM63aypY2Q+2JDLAJcO/4Qj7fRPdVE
ua9He4pnLyMInl2JwEe9Z1yUDqSbQFLxp7x8XubVBXyY0ZpWXVNe5Mnap9V0L0fJqo9p2+Kiv+8y
9c7uKodEgbGHh5XUfhlkkycIa0ZqKD8vR1sGsnr11JlC8emFA9uKeNBpmRLgE2hP6ui0t4FqjGu7
g6iTdPK0+nx75oD/btbwiytr46xTSIdYMkCXcKT3p2gKXlOzw6Q4tylgwhF6rzlcD3Wz/vwy6j9f
B0WRsUB7/14EtNacp2HE9BqofWOq96xKVzblNstl7Q6Tww2Ysm0P0SGz022jRuQDkXOpFgdWqqPB
gSMBEBRhVjYpjLUIypPTwo8LfpSdiWyWV0CfibGQw9fPP/o/fnIO6Zai0wTBPPX7L2TkXRm3Tlqc
B9qB4YSzHsRzefz8Ir9i8/4qkrgP8DUQjSyqbn4jHvTfr8JAQEx52vVnESLVhki608iuc+WgYt/A
Jrq4lZ8kkZXXGJH8CQTcYA/MUCbBQqWBRExyrMbINrtIc24ZzHtd2Z/pd2S8JfRTDQJ8F/X3OZbi
/RgY/OYq742ZAwyYmN3fGEr2mraZpxAjtJkHzp2NQnZIFqdQrbVvUq2ulzRwzleVSZaSg3m/QgUb
1SkHZuihU2QSPqD+oN38OlpLxjGZGaOVnabZgldvTRIs2CE5kRKUu/MIOzBU4NxHTmL5Shw+BJ2S
31WDwf6hhBAJBM5Y0EtbUwGvXbLFKXA2psRKV0JWL4YMwnWcERIqWnYM5NdOX3eGtWNdfLaljCbo
oGynRH/OsIgjO0YHK1CJaWQRzjqlx8hr5lsho4JRyrd1C+khV8Y92KXXNFajb1NmbGSzyn0ri04M
zjnYNdUaeD7ET3W8yU0zIzsEhqA5j4fKav4IK/63tGecJB/fS54HXsglWslGmfcLgP1O+4YdpyTr
wiAiXlFfNafJ/Vn02dnkyOiynr6EDVJ7LHaeYo6+HWc0MrTsxK+C4DciHQIS2amV6JnO6sko7SdN
L6J1kxvVmsYxiEwDfkQYM+Ho7X5JudXzrcqm7g9KXPl2LVGPsBDJeVkggK9uw5wjpxI12NKRuLmt
qNyCEbiZz9/q0nyl3UdwllJaXp2r96Y6UTuT3a61io9GtvLQ5OBeHswnhPq7IVC/089lTDewDDgZ
HNfxji7H0eprr2IeRpOEJwTl7qTeGn1/SpPotoqBpVnOxpzaJztNdXpJZEebVUctWPVk/iFntxdd
t0ZWCZn27Bym9CrxTHjC0Z4VTXpSor7yq3bWVhFsgn4G+yWNJXSReiOj0HCgQaqkfLAb+XoKkd22
h4NVo4hHecI2T3BH1t5pgzg7dK6bcnpFMPutIl+tsMB1TnxOMkbSPr2U0Xi0CnM9lLofWTFQV7qF
qhNfp0JKd5M9r8oGAEcGn1dQ0JRmyLmEl7GXnOuhan/GlrRgPGVP7+iEtV3qmU3kqyHzN8U8mg3B
PghASP8mHlIPZ9o1VKhpFx0lJVilykDMD80+Kb4yIt0NoxJ4q3TI2cWjAYWDAoNGQJciJw4gne4r
CrtmFgzrlu29qHP4blKV+FkqbZLBPsy4ui0nFu6ghEskGYvurCrrhC6TMdhXpL5tIREgoq+OoAuo
ettMumRiENsps/Z6OByEmlQwv2iNoWKnuSQjFRYorxtOCZkJHiBflaihvGC4Mo2VxUCG7l0+rs1p
XerbwOofhQxINpdPpkEMyBjoR3JUILsHQXBgDm55De1LcAwEegz97Avqhm05tY0/mda27qlCrBIU
nYU1owd+8cXW9sWbuhiJfttBI2fCC5B2Z5N9v29O0D28sWeGO1zS+kSwnfv5VrEY8z7uFO9WhsWC
9Pv1ooLTBStDWf5QrO/9iADpWIRPg779/EJL8NffroQ0UgewD/xbX4YD7680NC2Be3IPmFCZyAKN
x8aLA/XOaMJyF5VAhdOxZ4oay26pyMrJrmzDNZNS4jBBD3bg//UIm/mJrPF6LDSbmKnuQYrLSylb
txnlG6cer23U2zFsRr9ow3Xexi9Foj9KUSZuwg7irRFFMNCM7mAkxC9oympSZLiBBIYWrWY9Oqpz
K2b4B5qx77R2F2vqYQ6nnSGcy5BCTmDbBhF7SFWaoMgUGXp6o1Aec1Gv4izYDYJMnmyEtGrk8L1h
2GZD+FyNTv2ohgH45EYLv/hVf++3/LHRv/9Rl7HGu4U9NXVSlZh9ne3xJZrfJvsLIsNX///yuL77
/2UJGSSE3+kc27cicdxKu//isfj8qfiFin93gdzMUzlVw+lsqFcx9Eh+Jhmp1+cX+X248+evZNvA
603FAD/2+7cYrQY0uc63cBh+t9/aIacmuY9H64u7of7+jP9qf5FHB2CN5hel6S9T9rtvM4EAh/4p
1DNlzDc2Nf8uWwe+tMJj4T26hfu4M73++HYTe9HDuHrNVtMbb3Sz1Xaff+FFuv+3l+3da/3rg777
IE4fO8IJWUbade+TNLcab7tNfh2tnRVN7XqtbPid10gRXRSoK/rV/Uo/F98+/xTLUO9vn+L907ks
Pu8+RQa2xFYZm5+fxp26Yqq1dq4s99LobuRvHg3vCBFp45yj9bglYmZ7F/jhZtyy7rnzBlIaLHA3
9R1fOnbbYtNcIN8wZvMfyLM/y960MXbOrjwM2/o+X99+/tG1rx78DxW0pDZxRkAWz6VbuqCCfoi1
uFP8ykN35Ec+I/F1vi83V9+Oq25neBzYkz06jH1yxnni0TlP3e+B9/D5p1KX1f/jav3uB/0YjxnH
JYZek08V7Rw38uYtOX53BVRSDy8W8me39gg73tjnaqu+0EhbfX795T35++X/eo8+rDYsNUx1xDSe
5blcWcNwmCHO9Z1cfrEpLavKZ9f5sOqgtNX6fs6mMzW12w/f5HE7mG8TTk+5pRW1/vxb/fOt/p9v
9bGjLOUs/kaVdOcIc98U3Ijw+v/vAh/OfNpoZ6aZc4BC3aQm9AEdy//8Cl/cmI8aPykXdmFNvGil
ODfAe4X6NMOe+/wiX/1OH1bRRoHL21tJex6XuwI73hkT7/NLfPU9PjxgHe68rmjy6Tz0I7lW5xxu
Fub1zy/yxdNlfViVzCCUJppz7Aaj6elOsUqz9qJpnQd/F6qNeu5BV3x+yX/8Xuh7LaLpcTMtOob3
CyH+fy0Qcdud9fxnnaxTLaLJt/n8Gv94e95d48NLkxFeLFWRPp6NBD0WXLj8i67CVxf4sCSSCzBq
SVn1Z5lFm2Z0SjjR51/hA7Tk7xv1sqG82zAitAdqkPEcczZwGR/vgQOeOCJ4e0Tfq/DSfZm2tLBN
P11rlm/97pKgvLD2qhF71BON4YJV9RRybXd4VY7zrnevyM3mH1xjRRaIa19L7k27Wnb1q+fqSttz
asd0uJpad1t40earMKh/3Mix5f9P6fLxyYnrQVYCXjrlsmzkkttsMn1XKJ6bbnT/sXD3ZGgcfspv
HM7q++kwuMMXq9eiv/n0F/pw33upgYLhTNQSPlpHf8Fcmq5zyPwb52wetU3nP6Pjcws6tmucL5uv
wTJffYRfDIN3N4n0V0kvBtGepQPzfDLi3OS7sSYW9dD9GLdilR+tDVkvP8NnzRs36SX0kx+fP5q/
Dl6f7EnWh+ckxSSkNwWPJtqaNWJZN16qul3q3fW7cbeLl6LlTMDDI4mSfr4WG+uqc2u/W0W7wY1e
vgpM+3Uw+9vn+et1Nz4cFG3JYTZUsKRUK31jbhAXj+t5PR/jg+J+AxO5Tj17J7Y09Y6jZ92vbKoD
5I2bdH0b+0uR8P+Kg//6Ypfu87+XvmEQaH8QXPt3+dvyd39O7RnNg2WGwANR6I8h+19Tewyw1kKA
MU3TkJH8/zW1N//lKIRjgCDSEeD8pX0z/kXeJNN/NpJfjsH/iAACUOS3F3w5tSClwxiLBACejvZx
d8pFpkOqs9lutblfCznQfQ7Vz5YdIkrqHokLuU/n62DqNwR2rNTKvu7a8D7I5tSDX6t5AnhiVUwn
0Oyh9E0b0vuccQPHaOLhmVG/mS085WkIdyJPtnJYoJHtSlDPdeBFfWJ6qqy8SEUv3pS2iIlFzIYV
Ct+ATKqE6Jna3AZhvS8GkAqJFj3m0DdR7TzPEDozYdfeEFevU5JeO5H2WpvK09hPqme244mskNKb
ohQPV5Ucuo5ZrUEZ9jjJ9ktMGsqhELS4lMHAMiuS+7TLXhi9zDs95/0BNwEped7OlfrSN/nZKait
TesWcx8ap1XllDWz5eG+i+JnO5a2g1w+NrUU7i1V4BjUvbzoz0rCakClMU7xeckEqCYa3Dh/v5ei
vWCcIKbIHM7Ogr8vY3Wnl2vY1Uxlwbuqt0tqIxTbNn2u1Khy+YibppkR4zF2hY5A39SoIy9NVPia
euCWRtNse9NZWl+00gPpSM05bMvW6vHWL/a75EYgNiOUZ17rJIx5mL/Q+GXfa+iPfqs2YP1reVOb
cwTzobuabGcrJyiz5YDRVlTAsY1BPWcF18vAr2LiBC+Hc3CeYuJqAafZs1/CrRzNwFlyro4QNmne
Oedc6L6ZwAohVQmBQkTCruVbBqQQGCYEgssGGTMLWD+EdOuZQ6+4WapjfbYamkRxm3to0HnYYjAJ
bU5GUGu9Qk/e0ZVs110DhFaWoJmo0/VgMWu0FIh3lfZtWlqFepXcFAp2kYg7Jwnt3kDHUeVZvYKV
ZR8rSdlldnkSyfjS5+ND1DRvorIHXxmmwJ9NE6U4hBNvqtHkp0m766e29HtkiV3MtHtGSurFUX6N
LEXz0n7c5kpbrpFtMOmcoNmkJTgWmrbkVfzkfhxKIS56HRGvIW8YkoDnxUogesjaU6bdJqgzkKIc
WmU4lbPKltIWe7KwjrTOd2pO8HWGMIMe+1vShDsnCjemruI2tJu7oYlvRSfdw5XcyUW57wjuLE1z
l8rhRZKLl6LJ7s0UMWk2D0ddAwKCH7XrU/Ac6Xid5f1mDOKj3plkHg1b4ZQ7ZSF4TTqu82gf6jKy
hUk7CGKCh0a+kiM9W3doQIKwfRos5PqNPuMoaC+iY2DCmGZfO+qNEYtDGvdbmi8d3zDvdklPWrFc
n0JhQR3uIZJPBDaE6m1TNo+owQ/BmJy6iF53ON0UTKipM6PHNIvW0LEew9TaGGG5zc3Y3pHutTH7
IeLpaE8ahA0P7dO1DiQZxdN1LvWIJeTKi7p61zvykzwSW2rLWeY7aneDxuPY1YSzE4UduSCynrqW
NNQOmTpyXxXZpddBEtcy82W2nc0gDavWwaEQ989F3W0bQ/45NxyEoFasZtIfYvxfuJpmqchv1BgZ
fmYPmYoi0GDtGzVtjxWS0HYzOzhhd9SddDe2HadZxTlEUXTR++wQhNPgQqE9DQFxc7FTvPUx1BSp
zhi9OZuqdM41AdbER4zrvJIVRBLKQ6x0x1HRH7VUOlMo3s7LLSSt500oI29juNLU4aCE0uMo9xdN
Uc5ySjKVaREjNw2vqoQDKBYhFOoK80nLvagVY110jO0qG/mipp0mB+dXG9fbtEw2GD4HvzGVB7Tc
+wp4SBQx6QU20pM946n6HUd2snnntySzbmejDY+FUYmdHHKuzouTVMiBG1SooWbjRRHmxlIDV9dI
MUlactuHelS38Jh4l8MfKeYIHMelfJis6agouEUUhUGejObAqpg58lAIEniQ6ZqhvG3y7qkZ4tsK
l9vUhXdB3WwLCVfXuEie0W3yne/CKXtsq4iSTb9KF3WI3Hs4nieWlXFj6OVlaMO7WJ4b3zb7rUSM
cDvb4JjM6zlTtnXo8NMoF6mqOShAlu479TbNSkZeSrEMuobU7ZXhWmjmqeHMb66yRlKzVTdU8YOR
xy2Lv2kd1AIIfG5ny7AJxWoFMCe20UCk2POIMwCswleaJrHFK7GxwsJhtG3YkNj7YjVLMYnfPcKm
sCeUpe/ytx5Ii24WyZodBtg9uUu+QBsyojoxynYbRISljVnLFtM7/Z4GdU6IzPSzqBtCC8gbTCfC
m7WkVlwzHu2VkWWPfRmqmNXMGiI1ISSM6izJzRMTfXEeYjJuxaUgzO4pUSxidf4ve2ey5LiRdtlX
aes9ZI4ZvugNwTEYDMY8bWAxJeZ5xtP38axfqlRKpTL9a23KrCorAkEShLvf795z7aXRtr032jft
WCwgnBeGq2NmUb85UI22qUZE9UXXLulJuMCSfm146daako1rLI95HdyG+G762qDjwSx8I/OYHOn1
czDiHgeUvGl0zCNDOu16pogbs+veBwK7euq9WIF5Gkag/USZc4Z3OAPhxLb3+CHmtedGbzxZH4XZ
7GmZOAt7+goS84jXzV5J8vfcSKXfauZztdhHN85JpWcm4ZAc0xCw6ArSdc8SDZID0HgTnBMyflla
3uK4ht6TL4cqdC7tKd7rzbIK0+qAE4ypuEjXsZvCPkvMGznmd93EglHO8zovivuCmmlSeekR+/FB
CO0kCW2xFdoZU33oAnxhaXQI3fqIE++JwMIxK/SLxmSlNb1t6lUfZMI2SUqEO2CnMAMeX4Jo0xAE
s+vuK4/kpVYUfstNN039sZfZB8WugKxkcShFfNsYycYxYpxuRDvNnJK/CX9YqkGBLjTNnxWvyA03
dJpvAxAOMmBQ0st22yX6Pu+NZ1iSfpbo09bWKHCgA4atRY2JLqt5uqfPRBF8evLC1dgYJLhJRUAQ
ork9eZQy2Jneci0GRjVEu+/nUd+aSfVUEoFdA2DAYzbEn0FTDv4EQWDTReYVhsqrIDRfSSPgCEsq
psguUYf4IGMht2EYHId0+apm+6qrcFjyfO8uHYObJSxHm7kf4c5orvRNMDveudRLvNZ41TMQKVEn
bjJLu8y6SfUYmtu2pXEisCP6q1ro09HsvNgjtQ6SJw2Q7ulymjzY+kQSJnu5qTTnxTCSYFvF9bMY
2L4Ip9+m7ZBB1OZVe4G+l+rRU3uo2aWM9mFD6MCu0lNFCUMaassZt9yx0kPAXND513WTE5JiJlbP
NY0//DfkvLU+MCyPp2oHVe1AXA5jRNdfLuCcVpVtPU/KxZAIXHLNRDyhnq0rPY2vaGHysTBFBzda
2ssK+DqIJ5MZVBZejE1wI9vshUINa6++7o6pULeA2bY4wcwXL+ruisq6IUIbX0qzYC5cHcJK3BtU
QC6lLSD692T4yrXI08s6FLvetRp6svJvvVdiD4H7EJrefdqVFzHhtpQk7AAoAzxd9zzr9a2c6oJp
v3uV6OFVTvo/c635WEzJY53JF2sybwFcl0fbTIpNHzqMmzvrZcnlQTL98xMREz8c+MVarW9LYBb0
PFnDPsloaWopc6FQ1sqFeTfpicExomkIKnvZbBmkUE1H2xh6HED4+uHEd/2vU/ePrmSOYj8pJPBZ
HAabrPF06IifRBojFmIyjCI+JxVszeLUwjKU1t1fX0Rpn78/8KuLOLrl6IwmOUry7z9oIGkwNabW
tjH2sINWnAToOOV/He//+jJ/VPm4jKuGDIoMCSfx95cJCHFxChBs3I1vY/mgmX97oqgM3DocGgVv
xVnz+9/fytkpSyfPzsXIjbb3gre//fdTOm7wDvFGqeqi3/9+QlJkk+0ajAjnDvvalv9FBf2jXvj7
9+env99yUp3kOu8P/Z1a7qd0pWH1xpz0lSXrv34pf3IpZuWOgPJp486RP30UmUdUdlzK9IzHAeB+
J1aYnUILqKbPuPyvr6X+7J/urt99LOoW/+HuEnqcD66TZefK9Ime2py7ujXP1HnY/vWF/uxF/fj5
//SiCjeRcOr/dSEcmUWEe2rLOqKW4uq/3Gt/8r2kZwrQv8fqSN35T8qlaRdGycJbnFtzG2Rvw7Sx
g4+/fjl/8nX58RI/325La7NXskVxLry3JHixtP/F7SzxCkJIw+dvf9dufvhckjqzO0szinPCE5Ds
cjb/Lx5ewCEEWQ2Tr43zXXv94QqFVrC/x7d+Xty30b3qFeyg+y/Prj/70LmJYbxZqpVeaVw/3l30
aFcFTiXoNWz8Zl/BBuybAZcZlAjzv9zJf3ItopwgbXXIujr60++vFQUeIltiF+dInak3sWpz2rg1
cfKdcfv9w/9H8lTdEf9Z8rx6q7iL/0AC5Gd+kzuNXwQrFQsIOH1Lqnvqt5CS8Qs0fwK4QldhXwVJ
+7Uv1vsFciC5IVRSZEiiTP9WPL1fdNtS0SWTfBGLxt9K+xIT/t3TDsVTaao8hShCwyQrzJ+edk3d
5pY9GMu5qlrqXNhirBoJPbKy5wc9qXeBYp+Ner0Oqv5d9AHNmJhDxWQdWzvIgDRoYHfqtbDnk71Q
smJTOcXgqoOvEJ8dqtjnwLsWWQjBCO4fAVKxSyd5Gk37sszLnRfKfZ8YHCgod/UcdNQmVChTZ8St
WPZbeiK/NKc4UuZHW8RghSfXIWmoVWmw8mp7MxuqR1yjI8mMD8IecSUa3qNbmdds/M+2pNimbwqM
XOaQPabOTEohxe5qyxts73ch28PChvIw2zTDhVmJnb6zvsYyTE7L0ldk1bjObA+7RWtCwgGhrzls
/7VUbMNJR/LJxggxJBYkWMMKmyvMXaMaicjgRF6TZPJjspCSTGRIVKNTIclqaHf999xkaSW7SUUp
XRFtyzHdNwq4oLKWGFHXjUX60iCGaYqMPCbBzEAlNL1G4ExOURRVelOOzl2t8pyzSnaiHPMqZGOd
GbPjo+8xkC2SxlSVCUWew0ln0jVHWrQlNtqG3n2icqSxZu4tgqXsUopVTlkQcbZ83ar0qaFyqBqB
1FIlU2uVUUULpetpsg+c4aa1FVa3dGLu6apz/UhlXMMFXyo06+CAekmMQ2Vh8UttY44Dm0XlZOsA
hIRNdLbROaANtU4oXOVqpUrYLkRtI5W5xWIdrbVOx1E6CpnyuDdySu2C4uCQBNnDeMTPqHnpofLs
9eRa0CMt4FTsTZNdV9pZvW/w0wV33uhpF7oTfYZaWW28IJUXC8g5/NjNoanDe+RarD+dsbe0CuQf
x6s26u3N4LHhH4ryWHjNqW3zb+VUNDjhx6OYhueqRR6CvfLYG6CvYlBE/hBUz0PriY3bLpd9MV3m
ubBA5iY3S+cNuFLCXTfaJ9gjfCW0x27U8aGOyx72IH91SEK3DXe9R0FdDIUGj1a5kmm7AxB0mTm0
OGIQfV2q4DyI9AEOGRB72ntDowbIQpu6n+h1vGkSwhhxVLxJkZ6iUPOnLIw2MNlPRSb3HQu0P7ra
J3jfh1KbmSpreK4SQ3yacfU4pN5aowh31dCr+TY09kbTtZfBQtYYO+9kgkKjp8lJb5zUeu0qOr5w
SbpLe+TojZMRCEi8gNslKD+VpXHC8brLBPpW5TpHcyJk1nCC1ozolrQTRLF4fjXc+1TbWLN3rOIY
VHNC+DkClVZUGoABl+R8mt1Qa6nBaWleKq27TZw+AK6yXEc2tYkOkHBzxO0bJxtNc/aL6rjsAqRu
0dDPhN1qlUXy5Ep5cLEPQyD1e4tPHRTacXAnsIn58iqdodt2eUOgfI+URvZbS0Ifh+ZlPy4HWcXv
FBuKVaDr9P2OclXFyV2X2e+yoaWMDDuKae0+Qh8ufD0P+BLjUl6ZUbch1McQVC7ZtGsLsm3/agT6
Z8U12JD/xYr7Nbx9/tmay0/9tuYKWlxpzxIQNEzHVB7/39Zc/RfDE4ISJcskmuuwHP665lImYDjE
RNgwqTCx/sOaS9BYAN6gF8CjNpZp5t+g7xIm/uOSy3GSfDCAMS7485Ax6OPKtCFsn+Pi2pxdlo4A
tXvq5MO0GCDsZ6NeSaO49Jbs1put97nKNN+FJ7UaIxjwc9yS6+/kRZvKsyk4LUya8y6j9JT18pFY
2oM5Ft/6PtzWmkMhAb1HWZVXK490kA/9ZSeM/JLoL0VwwSBJ5KIuiZo+QI5fDOHSRyd0FozzDtsB
2vXI12er0rCfSWU+hvPyrgUeg7VU7se6f0jj7hruPKZYUNRAT+7wKT2U5RReBUN3UY5DtZq19qh7
yJRTMWzzqeQ1LxQLmKva6w+9hxHTkQFtkcW2iLSnHiA7dZYrMLFXHPu2ixVxNHLdYBMULaVhY7+G
FbCtvQzmJuZzst+fMLXObao7BC/q+W4hUhwPgenrVesv9cT6l5gxC7cFoaAggCE1+yVfUmMDmsLd
TLHILsjtyXU96i0gOKCPbpmsvVHNFqW9ljM7kxEOgamDTqIiEk3QfmxqJl9EQxsLYaxn0SaYU0JP
mxwmkw/6OCKtUElbR+Q9OxHRU9ANDdPPMGG5icLMWgclU796iC/R1zdpO+9ENu2XcXBIvoXhKglx
gApr8N3vsApKFi0XeDLtq18V4IpMEJmhT+t1ITC9oh0MgS/oHzq46jH1k4F9Ab6hXNlWe5j7/jg1
boIMW+xLQ2gbyAYqSzmcpCg5uDPMiiLxNFvORV4xXczt+a3W7frByqmNzC1W+GE1VuOBiM4O2nsA
gi0ACRcHe5IypR/W5nHuU30lNVoXZ20G7px7j9pAHalTa9tRGpQYD+AzQGB5wXhYJCEbUVbOygqL
tQTsyjag2sVx5K6Eu1wXRrA1e4JKGq0CTdM/LijxmW18K03VqZCgNHqMvoP0gZjwC8UA11ME+mjq
PBBpy3PbkBIWsKwYoLl+xgSpmLqLvHe5m5PleeioX9Drt45aBCJjR5BhJKWqF4cKjXVgMhpL4bev
sia7Z7l4iDjYrqqesKxwcbxP3aZaAPh17kstEZ6b3jk1lXu7RNZOmMGTTt/sjvIJP+/7V9sLbw0o
YK5enOngO0+VwDnuLAbsOsB6tVNcLulwRYfHNi0+U2JDPYreph2DXRmPYiUzCwgapRmxY689AdFU
jn3KtVtcje3kB47xlgdB4dsi7XzRWhfEzAzoX/O9s7BpmMrMXZmNe18U4ZE+yZfFi06ZnG5MA1ao
SIuVrOVnkIt9Lj1uI/oImKNwAwaqgnTaBInxhYmu4gul33MbP7sdsG4d3GwX02MpzU+5zM0m0cbr
MmDkk7e65YMdc4m3k+3MHFicHiiClZ1O2TUs19s05bmCFF0fgiESm3zWx23hyPcp6N5AuV4HOlm4
wLWDdTsKqH1zLdnW2MfKa63rxfQIiJdRcQNNMLmrCv0jmE2DicPysJTlpbmE7zpTgj7r530eSG3T
pcZV1JHfbsGP0NrKCAec6ldZuQsgBGjLTVqpZt+ahb2TvAPShdJqZ40fWM3lorvHztAv4l4/EJi4
bZg0wWQ1D85iXeHEOpY5rzJO63XVRYLpj2at6X5aJ1EO+Ne1/qWC/bPk26y1/3nJv++zt+brj8ds
9VO/LvmgRym/Eig3BpkDIuP/XvLBhBBAEMQQ6CkWyF//XvKdX9gH0J3FORppkbX938dsZSyS5GlB
ldOF51j631nz2WL8tOZzYbQrau74T6hf4qdjNohpURd52V8tWYlCGvevzJwZ/6QdT7xB9cNmT7Ye
xD6Uu1Pc4Lqw6Vj1Obpeg9s4uBIUV2szF1SHbR6Lx6hPTjh0Rpbm+A7g0OcgBspLy4GgnTbmOF8M
fBM1T0vhhH7eMqacxNO4OK9Gaz3Lmgoaj+51xEA241JbtsyANI7nEaUvDcGukCFQzLTK9orXai4f
hohHcdm1HD4dh9WvOxSwSjupPXEshYjn4huOT0MaXdIU/9qWXq52HteNaX9kMvT4osMfpTXZ2RkG
lgy9fMlnQtdWwkAPVF/q19m4p1HlYTbIEIXduLWsBfeBKrkFNcRsllpXxtU8BjPnsu2yewasGPtC
ivxS75b1+7Nu5XVsA9UzavxNIky6TTCOV141PPOk+wi68iWojTNc0g+KAqXfp0246YvR3bdufh1W
cq/anDBNvFJENmyqzCO26aQZS1/5MerylGr4IfK5IWUOfJlEfM6xtiZcid35klEoS25AYowJb1w1
27kct6IZL0Ip96Fh387L8C22ki83b+7NONzRIfwMOjJfC5c/kg9JioZi9hEbjSHgcjIGdWiQak+R
nL7B4C7XATpHySLg9w1HpVwYT1Zo31od9hzArfdWaHzrDWc4zLH6cXgBW8vsn3MNj0YZwXwBdNl3
6BBB3yU7krYvKBDp1qj6K2jPjLNSNyMOzOZLWBqn23QrXALIVCru6i5CWUirYdVXfGp5Z0BfwCzW
WzH7OI60Tty2u6CFoxrk9YWKpEOfgUhhj8utS+Z3LCCT1xYmpCXw+E0Qt0THiNVbWiKRPXec7Y6a
7y3cxHPLZ5gbVYgJYrkrw4arFt42DIZtIPq7xTMv4hEVxzWok2nrIFyHGU1uQ59+dOX07BVxt3Kd
6l3oGNOKMvCbcYLHK+K9Q9GRX2rRXrAPXGtuWviCpm9nFiyGcU8KU+OYHI0MhAfvCzjqpTdRuF61
DFwBbxyckNm10WM+CHO2uTWajAHBlbsxB8LZvbc9KpVo2IlaS7Vc55NjHK0CFChwXBkeMgNj3jpN
xyfG/tSkN1obxY+8DUEHS0/N9x3IrluH9bi4d0nFlmsSqMjCkn5tEskedEiNE7JzTfl3dG3WU/gC
0WDTZtxCK4um66uKkS/+EVafcVoJwNuRK+mYr4Xmh9KebkSmUTtWx+ZmcgeTNDl9T+vJc9r60Lsi
oGApnjrcQ8LMkIBmNtFjdsOUaqp3gNaM53RkIHbKAOHwnMkifT057ocIe3xhqGsNduQxKOWyoffK
rnG/GG54Lzo3a18MpujkhcwFynwtcid4Te0YpqowGlqm2ZP0lf+PJs251hZqevOfl8vr7O3jq/nj
cql+6tflEhOuYO5IO9t3o61ShX84ITNl43jsMPn8ri//cEJmJTQV2lsyuhDguH8tqKG6w9XRpQFe
Gd+7/eTfWS6pc/lpuUSVJlrsIZJ6hqHKaPn3HyYxwzyiO1nuCJOJB4LVpU/lMN+65TBsWE3OuV4n
H2U8FKt4Nu9Bt3LWMjW0Pnf8pkVii1XYWi0mMf3QqzeiyLAMuXiDCIi+NyEi5ZRBwcHScmvJLOTc
WgYknGnuyKHmRpX73pvxnTMsTxF6IDYccLFGZflTGeX71K0uTKWV567i0Mpiu2TGHddaj52Ozx1I
K4+Imfyrx5ciWJxTl8oHJrQIRWn4mbTeycJ5IKzpHIXtvnQ5S7BfvzEiIba0EkJ6tobrycCWxiDP
4SlHjRPl5mpbDbOq9s26Tw5IH/D9K32vU5C2lZ2iaOKQ2/RzZW7MNNixbil0QS6B8lv3PLwoR5Dr
3jQ3YD8EjW90IQMsPCx6YvldQcUVI9ZHW37mVHVQCKg0zwt36J57scQUTbQThgaYX/2MHOAMYCZY
ab8GUR4G3d26puaupIgeQx2Yh/Q0PH8YYTBvcCZXGqd7HmP3Sqm0Ydk8lpr9jgn56JYpLh9wV6aL
5q0f+iC9MWYMo6Ht3Hq8Q0HsUsVVNtsxy64aS946sXhPp0WsaN/mVCEgN0l3fMgN6yVhzG1ULr0V
Q2Ftq16n8nlyj3ri3WsZbipnEYA2AXSORUJTRvBQTc0VPtFj2NAx0WbZl6VFr9Og3VcmRsJouqW8
YCsc7bnXEjYxVJ7a0Aj8pgpduLtY3aDbfHPn+U70WgzuVJ74mC5HuBs1dIPA+oZFbxMYvJyxX7aV
W7ZryE53JV5uJ/FQdEN3tyQgPZqifDUL58XMW6od5unN6kfuLx2Lah4WGOm6kpaO7JPWjCfZmJRX
GOVOz5yL3pn3pdN9DhoFMkZkqgj5LoxjkuJBfU2iG+gmTtw1CiidetrMmhcRhptNT2Hc08ek401a
WAtXNqdcakWM286pNrLK93DvG7lpu6JivRjDK6MvH6f2JasPJt+5FxLlWJhrEN+s5XhzLVbDObqZ
x0YegpTlsHTbaWcN2PtEP1p+X+tEg1RxYqxV3xgtdBLzXN1xkouCZN50eVovD8N3CcUeJg9xI2QN
uSsCE0ECW9IjWycKVJBg2GTD4kCUmQoLdUbJNF5CFWUhd+DaUXB0z1t3Y5NdYOxxNzmIWHx35ks5
2Aml83zdsohbuhg7hxRtA4bDNn0tztehJ6c7j/o4xS49T9HyaSAwAab01jGSk0B66mGFwbjCK184
XrQGPY5px72aLAt0R+wvwnuKEbIizw7AlGHU7cjOI3U1mPAypK8s7rdUg3T+gihWVvjMNWQyKyrC
qwzhLLWcO95dfUcV3lWbIGsgsUmktgbMiB8G43vrWI9laT7nws1WBvJckpmoSDXQOkzBj3aEYxRd
KfLxPl6NSt8rlNKXRtmlQPrjfzXgpLNbqjsbRR190KgpKDbTbzPCYZW4j1XN+t5Y7/TRlL7I3bOD
1Oj0pYB1FZkrE5UM6xWzBRHo72JKbkEJXfLhoVkmHEe61H3IByB4S0bfCySLaIPza+2oozGnI+JK
nJZpHoGOzVfP5RzdRsahVQfrmBM2HQCoTPqF4OTNNvUyVUdxVx3Ks9GJVsGQy5UZ51QluV5CiYuu
thrdlxYt3baUNViPXtI3WYmrQh3/ByUEGCgCSxi8aXN+GaEUaEoy0Kf5Q1MiwlxNEztEjN6txfhr
hhjuhvXHiLEFvzHDNs74D7EHs7iqPuIFuTY0RH7PNGivFcaDS9GNH1R8GpkbbFHBxNoLPB4b48HN
q2AdOP2+Slgdqg4EOGShNs+417DoQh7MYCA2F41QnarMSIsNx5J22wZdK1+NvO3cf+Fv/hEQzL8U
EO7ePpq3nCn9n5C51U/+tivSAYoyAaCLhGiQ/GlXBAQP38b//As/9evcgK2P6cDaoE2XmT2KwY+7
IkFvse6auK8AfiM9/I3BAeDSP+6K4IXw1wEIZ7Txc4W1mQwFX8ppPE+ZpyA2MeS0ATJalShdeOrQ
S9OWIk3bGl7GJD9WLR2W8E5dvrpx7AdzCEeg8PTbMHQ2TH5ZY2YIOo6ItaPoljc7MBboS93X6NTt
xsVbu6qy4M7sNecEgzdazYNZb6tpqK9w5m2SMHrksARBsoi3sfQuOBZeWI3+LZ3mxzFi+2Cl5zrD
Oa0be2p5gAIkVITFuVlhK9bJG8wmWT1Bi1Qo2VCwXf1KXOthdLTXdNC+xoEJmxtQ7TGNSMpFmX+C
Gg1XqdCuOjH0a50GktWYMm4fJKH4iPAVjA4dkN3AdqeHgtXP5WOUlzeGE26cksSRO1u06/Yc78Nm
14enMD44lXlbtw75huBrUYGN4trRsfabTQoXz9kuU/KU1+YqMIKPqLDvBxugtUi+zaHSRTPjxmuo
nfJ6olBD2DJY7XDb9J3CGkXZdurogqmlWa8bZ77LqQVYdy5IGSbFiW9mEeGbgrPUUlqLn8f64rcB
TTJa57Sc/QB6R+jOuUa0lE2IYokZ6wlBeZXMrPh6bIOdLDXz1NTKh824xU9xqV7gVrgt2wkPKv68
HUPKAzuleN2YXYw1PrH3fSDn9LEINTc8Ge2SP9HDoclVltcVb9+w+JPpjKthiqkWtr1vLbbdKRrO
Udfgj//+YOq+P6Qae4k/qblwqYbTGTHHlg4kkFDE2RWAraiXxQWtyOqVYqznirbOPP6x6eJpTw7v
NVVEdlux2UdFadcqeO0G4HZZjAczt3dVE/Q4fjEYNLr+oPXQ3nv0V1hFS7EbFAs+t2gMc1tsYS2g
+FrwXpqg4yeSY/fcAfhBLLekGwbCfKFY814PdT4EP99iBDu6qTEwFom+Kp1638WaBWET/UrzFMBe
YF/ONRsCkuz6faM49waplbvaqbPzULrFfWogCMHTjvAewLIHld91DpuvfoETFdv7yWH31gcaoScy
RoDgZ1IVMvA1E7huThfMxo7JpOA5wxQQB85FN4u3Kaj8OhofGf1VuDXEvKLkNlmHlkTZmiztoGly
fE2TcSSrUwfr2OuKHf046Udq2u0+I2KxAkF5kY7RtB8wH2yArCo8JO4BNCDZ3IymHlyCwPVO3jBf
tY4rGTRgPGQKxjczH8j1Cm9ad5BbT5q3AMXVU8JHUAw3/5zQv5/Q1Uz3P5/Q72jSyv9khq1+6re1
yPiF+CkLjufZ/2MO++2Ebv5iI3SzHtGWxXKFlvzvtcgDeE2rBFBFE4shv7At+y76f//3e7km4jiC
N5Yz1jbj76xFlqdO4D+4ZJVgrsiKKN0kdj33e1r/hxM64SfwtmQiz4ZJ9nJre0CDWSD7jybpN4OV
oj4pN4QW4ItIdPkYdJjrA+WZsG33nY7NO1e5KUBor/sOPy9QiHeotIcW40WqHBiN8mKgrrKDwqCR
mvrrqCwbDDrbY17Xh3rAkLXEZ7PTDoQ9Ti1uD13ZPnplABloo+Gx4O0LvCHLqK1dvCLd6JTIf8t1
qmwkcEhvDbN7kcpgYqfFzZxqOj5M7V5TJpRA2VFYNtEdnWOWPGcYVkblXEns5LZVXha8c1g+7GOu
XC7kFXez8r2IyjpHygkjsMQsWGOGoj96bfBZyfEYG+jvykNjKTdNWASnUflrQoOqCAw3rXLeNHOp
VjVvvbTNY4w5J6RfkbO+Wfu4kh8mDDy9cvKUPG/T1DvNyuOj8xoCTD/xUr21ygU0BGm8GZUzKFIe
oQKzUKBcQ42XP8zYiAD7vebKV5RiMJq8etd9dxxRwAG5UN96HCTrwD6nBu4kRNx9r/xK8wKJ2pFb
9q4nVuedUM6mFotTobxOA6YnD/PTqFxQI3aoOOJkNSiHVM1hs1aeKQYezzYmKnYYzapTtirsVeTF
Q3bm4ZWMrGhdYMEa2x4oH6asNpANGm94b2DXEsq35bmcR0YH2ZOWts8idO/CYN71KcGKvKRKqDQA
EJva12RVx8Uptk7SPfG/7YuSnJw1eNRLGOCvo6S7Ltoku5RTfk/vhI7OL8k7OXyfUCmDaO327TfO
4PvEbchWYpDo+iYkaJGe9L7eVCWAXpFybIEKcacPzS6x0xdr1neEGtk3efaxVYVAXQmssCjymz6J
5m1NC4XVAYxZYObNkQvRmo2jny7NqZLkmJNcwdFmc2eE5TG1rW0mSbqmPLOtdLxIIsBuUQN4QfLe
W8GxI1ZI8WLszh89uspTBL+HtKjMmbtTLn9rVEBYwpWHwnojKlnfAo/Ms50+xVsazbapFjk4FYNv
dD59BbYU8FeJ7YjavXCL6bF1mvcu7etVVZY3bih3WpTe6BVWQkJ4Psv3uppcVjZ3YBskKIaGnQc1
1OLFVZvaJSdnTgmp68naRFQPsca4i5+QIPcrTkBI9VvTmYlIG+t6ml45NeFUmx/4oCHYJRpTDO2y
qKMd5ZiHAjI7cQM/TIisUnSWgJxPvYJYEUrGbC0oct2TXjfryAaPaQA5HHLyRmYM/DLGp8EYWIlB
uxE3ZF7lfCCPnYrkT71K6/kDadxYC9haFi4c4nYdxfI5TyA0tk10OVRSXy91LLdT7vQ0sxV7WYsr
s5Mf7cjQn4TrPLn00FtybVbziR3WYWxo380N0RyNceSzBbzOGKZvmw+Studk8tZtYt2LOMQhNjNo
Tl1mBjYHwBTfn2AUTxOo3LLs3tl98AU2mrtzyA8dozS/he1MBc7ka7W9t8z8OhDLwPEUKEBMONKL
Bz+y+tPoFseJCNyKilSaSjyQrf2qw+XWY7VtGHngW8FXMDwJozoEFlzIgbaMNMl4/k0FzT9OeWvC
AvbjpSGnHNIYmOzVtLCKh6vAWe4pxQG93d0ERn+BHQarB0aJSc7rZTG2jtNsTBLlZdkOa0ZuC09h
cyvt7iiKZeuRVPLlrK3qSrwDRwM4bvSvZuxl/mjY5oEigGudzX0Vhjf64l1KD+FtIfFJdct4IZyU
vQppZ9DmySbXYnkwQ7vfyWi6pg+H2r35mm72b6axbAu4m63TbdrG07bIOAWm0e48d9V153oPDGIj
7C70FU+5LTdTYmTPqRnM0P+Hb0nbHwkFPmZ9cUiQ4CLZon828W2/GGsjbr7ZIZTqXq+uogkQSrI8
pLoBDHhAWGOn2Rb2TaMFzM2EfNGc5mmqKbnNo2rV9rnrm5Xnd3p0NMhHRpNqFwqPVkfPamDNh6CW
mECxXxE6x1CUPg6ZNqZrahzoyl260ffIq2UiPhi2steOOUOcMvq0BrNfz0M5wQ3X3+SynHXa4jZs
F5iRARedmoVaGxPVskNWlx1EoRibZT9PyN5l/FQmxnWJCEhdO7v/Eoktaj9sz1h3wMKJOJ5bZzos
Bs+vBtQ6FULFwzRrj5Rd32exkaKsmuuKZhcqfMfzkBKoBh19txS0vGR90t80HQ1qdkY9gqXSzw5y
DvtgnUPs8Yf91PUfY2jGH23tRJ5cTvPY9kzBof33A4S29nRrlqY863f56tneDte1D8jcl2/3t+2J
QN6m9Lt9fMlkch3ty210wawsOUW7fza43ze4KifwFxvct+L/rOOv8M/0Fn7w1z2u7vwiMG2wZRVq
0KQcl7/ucfFzYJBUYSVbQnxSzoxf97jsfvm/G+QW8FTgq0Al+XWPa7AxtkzIMsJyPepmnb+zxwX3
8rs9Ln8Sv4wQBg5Oi8yRK9S//7DHjZMkaiPi4ieiaUiqwO87WMG9Y6cXeZyPFXbKYXEZT4OEMEAJ
FPNy1zM+AcceXpp0u76lUeGbHUZrUb8mbqbr13gMSUkkAw6oVTsU8pyX3XIRmn0WH+puNu4p2NXs
g94KZuJS8qzKAzO4SGdHsDNI00S/i11sYeBYl6z9kEXojCcWm8a+qVjaB6fIvjBHUXhZxH2G35kp
FKNbtnSyZmW47eq5O1iZ0XJMXVBDN4GYe0yELrYyt47E0ehlcGzqOqHFEtLMJpoknOm66TZA8uOj
3c3WZRD8f/bOZLltbO2yr1Jx58hA30TUrQF7UqSo1pI8QciWjB4HwEH/9LWOnc6Ulf6ddSPuoAYZ
OUmHTbERcfA1e689VxTCQRg8d5IYT+ZLIdNlz+aKz8q4u4pN5xm32UfM359JRS/WmLq47bvOa9UW
r24gDAY0RW2/wEVh2YzVvY6GfTnrzqbNtO7jgAZ10Zs6U6sh6wwcCQOmEBZcD4ZGjxoQwP155N61
k1Zp7mOW4kctM1nOGQ1bprrjlKqqeouzRSwbemDugdCDHb/CY9dQUQUs+/jlViu35X46SAQUbXHh
dwFA97DxyBd35n1mM/JKoHcvbOot6ohi0UScciTLpUsBng8kQ7aq/ODVt2ONtPt5lxtIclNELlPI
7kUDQMgag1BQaY+Paj+/yoYZaLvrbIVBrlvXkm4RN8NlZpG9rRNxvQxyZ1w1jucgqqvMM4aS7FYb
HOumdN3yNdXt5lDUSflAxCmri6R+Kac+/XZ6/jMmtnDA/frUWryiDvnZscUjvx9bLM+RbnPS4Oji
MFQWvu/HFtmOrs0W/M3Z9P3YgmCFwox+1mC9/gPDyv0NtBWORUaTbPf/w1MLyO67U8sBCs+hqgYB
bHNIuvrx1JIdX168HNql5xTpMmdBm4SMinIXs7ki8mTeROITjB5UitcMhwMCk+H3DIB86BfFCqXy
flaMn0rRflCwi4WpCEC1YgEh8/k0AAcSQIIqvT5NnbWfFT2Iw6dZk4hAI2/d40HaFoo0FLX5zfgV
Uw6EyAVGhLNWLlWuQqA4ReSqsP1Mmwd99L6Mtjtu0qG6Lcz03jPUoi1jq9RpSDWLoH60u6pbJUa1
Iqtp2KRRBaVFaJuyzrqFoTXbIdO4UkMW6NRXh3j2hmSFS4QxM/QMbRWO9scq77XpOh1g82/y0RgK
SCCyZVAIjrtCS27YgB6IxRZiCDaVwQCil1OxNpkqQiOw1j3BTQjR0qsuBXMYlMRQC0rWTk9fWs97
DZmZwLSC1m21l3l/b0qw92j7g+UQdGyTJnHrjYQ0GYX5MYWHQrEMHALSBE206C/cUMpDrZefgFyR
aVLmMSR+Ns5Myt3CNq/rLCKaIPac1TBldzoxRJnXkfk7snNiiv5Y2uJDkXjiXM2jODKUn5aaF6xL
jzMpIlclF5fSkNuCcU0eeIfRCR897Ifgxq1pL9x0Q2Og7w12nBBdAOlb7QhPygVloOezteT1PPhR
mxx6lvJrsn2HhW+E1KuDVZyxmt6x8kfgX3nJApLbhf0V8tIq3kv2Ff3SfMXAGIN/msFT6ZJAZx3d
kYolYkRZ6bcRKohQ8WTmxjrXAGY0EDg1wBkn9fYw1rZZ3+1iRaTpQdO0fnEeA0BsozmxEuiXdsFv
foDclTod4LL0gYykO0/E24GJM3Hc6BLg4IzwcEitODbwcRo4OUmLhkKBc1AzVbCyGBLMUHXGfgCv
YwDaIYrm6Cr0Dr/ydIHQ6TVlx9o3vDZtQn1oKWSPC7sHKx/hYs5H9Ex4FShv2y4/sXe8IRyigtAE
AMjSCObqhk+lJteFvGs68PoIsK8jyEEVzUVZzYfGNT7oQTqsUhhDEtYQqdZkGVjWKZHZx0LhiDTP
BYbGNMWCVBQrZJGh4EXEcD4HoSHWejHA65qxdTCyZyVtMmMWUlsJOEim73yyKh3OmyIkRfF5gJhU
N2R2OcaHXKGUdJM5hYIrJXCUQmhLaVFedgq/FCsOkwIyYbo6BgrRhKvyIs/5Z7CbhhaI09AUex+q
U9+WF/zLGfaKZWGvYE6RfaVAwamYkGIoNlSsK04UOehPKeSo0klRzyiWlCZ3gLKeJIypIWBMAnMq
tfyPLQyqoiN/nQiCFV6MZQulqomqx0lhq0y1GRps9+ib3Y1v1LDrgaBgOrMeE6hXg2xIoAKDJXz7
2oKLhSv22lSgLGSZJ6enmRxhaIVl4++DptoR9bFN/OwhNbNjpMt7r8QDlqf6TQuPy6zyUwyfK9O7
h6ywbxsF7iogeCEIxZHTnAigZ0fHUCGaaJNI5drlZn1RQwHjS3IQCgsWwweTIeZGBQzruv6xMOsV
HoJ808MUE7DFtMC40CxgY/Wg7W0aQR0KWdvU+wIq2YAQNpizIzlG2zafr+nnED0WNal7zcVY8ZX1
2YsUMr8PIZ5lA5CG2tm3kNCkXR1iyGiGFX/oZXLrQEwjqiBfOG646R1QKTDVMthqhoKszdDW0Dge
J+hrhOVyhcFji0V2kcBnG3PrFv2UtcDdtjDI1VymsNzsPtmUsN0ADF4ksN7+6ai+dVR0F39XmzTl
c/OSlD+rT3j09/rEsH8zLFVlBL7zrZ74oz6hrfJ1HOe2Tm6mcrn92VY5/A1FCLB+z7VcT7nRv7dV
1m/sxEnMoUKh6EEm/B+1VeaPqwMHOzyuNMdF4ccimx2G+vs3bVUwOhoTNSu+1DJGC05ftOTpTZgq
+qn+2DcWX6a2bhtYZpPmeUvMHWyqw6GW6T1wS/xbxEij72hMBqt1FY06vhW9vwZuRnZMh/6+IbZ3
rOfOXIx5j7+WrAbft8aV9TX3N/OMet4Dd2kiuW0rLY9v/bYdOHuwji5KDTzpguYqvSsE93CWsKm5
zDN9uo0R4CYLk65wU1X5ehZtLnck/yIocjrvQ2n0GmQ/fF4fKtw0mECdap6Wdsn6cqlJJk+ZVflX
VtZXKL3q9ElzKuZ3gdESttTnIStTI/IXiJmSEx5qv1sW4VxESz9xQ/KjzX0Z6cWysNIO4o1XXHpu
2d8UDMHXDaFtNui/st91WuiweK59UoELgE5BG4iZu1XnktPiJ6T2pHCeb9BIEf4+t0Wyyxtv/lyY
mhoc25Msl5POTdDcdORFszBEQQ640e+tduuwwdbkKhm1/gkInmGsMxyESPiNLi7XaRAjdlxzRszK
9DdY8xzsGFfyz6aqibYeCoNr2fTpRzST8jrwpLdJc9dg6yzt+I52+jKwZIWRSOPTvCq1qNfXkVQG
tSgUXb2PTaMLz35ipk9ZLs27McDmQ2nUMQEbSj3Jd7pVYqfQ/CpM9zXV23govMQeXt3Bj14ZBnlb
wIYh4MJYQOoKwG9JTSI11+DWZH4iH2PLqJpzzYKVW1S7+Ofk+nZyMXz79cm1IavpcyI//+zg4sHf
Dy7TxJwLq8TWHc+FEM8R9EdjZf0GJINmhNQ8Dif/zTwI548ZeHhr/nzU94PL+42+SncI+qJLc5Vg
+T/Q37yfBrGKVctTh//4ofZXksabY8vJdd1Pw2Y+z+1D7YcLteR/88H8ZGr549DSVztVfgawVdsM
1G733byJ/bxbjZVlnOWoIRncODneAuel73e/fp4f38lfn+fdcFRoRgWAwjHODoZSozkO3suvnwBH
9F+2wz+8k3c9aGTUpUlgnnE2R2/R2/de8AXgwDLQzkHXry1TX8r+qWIhkly1+IKM5JVDNYquTHHd
lmA5sFfWF64TwWtADGyzPLtlcr4ag+JvPgo1Y3y/x/7hlfLFenszslj7oBVVn4W15rhlIfHQ9clS
GPZ5QLwahhka8y+eZi5q/td3k28mhf8xkU7Jw/7yApC6O67Or59b4jtKV+lHRsviZTozxyHFy8Dr
ccxgwxDsW9k1ueygUWDF+v6hGeXC6YYbAykkJ56AeKFrM4vymvK36nSgj5FKL2VPuc2LR7OwDkOo
IwgztdS4H60i3VpZkII/9wl4TNN14zb7ig4SiObGaCfaqmkbz+feTdZFhI601hadO2+bMbgqzCtg
cZsQsCj670jeQQ85WW2+aDJ31YOuMgfwvoTVeUT6TWm1ypw7URGm5rJ/nNn1JpOx7AC0enqxVhlm
9aNM0Vpp2IeGkmxV+zpNT+lYbHtIVfeFky8qi0Q5Edy1truy0YumPeAZJ4lsGGO1v9L9wl6LLH9q
NTZtxdwsAsIsV1lk/w3mzHrv3Xt34dvvLpchCWTajnI+61trF+7nY/tgbUGhnkmvO7Y7pqNrfxUs
CcEmnOFQAL0fn7R9tmm3+tY9JZv0b0IMfxzw/PXypYh7+5W187zDQ8ZXVmR7wqDJkm5QKmxq/W+O
o599M98eR+q4enPg+Ukx5zFt4VkrF/nd+FJHSzxStrmiHvn1eWH8+BF/e0tvL4L3JSFXTGMFiXmO
GUtdgeXt0OTSz0nKimV0xgn96yf82QloMNtXPDSq5ODdr5SsrdHzcss8D4g8yvlTr139+gl+dgC+
fYJ3nx3DF6qxyMRt2K86zO6DtmRO8zfv4u+e5N0pG4yBO0/MHM9BfzHXh9a9Q17y6/fxs1vS2/fx
7nicuFc3DaGWZxVEOebQKdybIEWoMX57L//tmfMpIfdSii/t/1Y/+bOopiaJ4vb//PhH+e3P0atY
PbfPP/xhXbImmK6712a6eZV46L5XBOpf/r/+5e/Er7upev33v55fiqRk8Nk2yefWpJr5+gz7l3//
y/hWHvFr+XV5dBDPdZeUP3/oH8WRTgSCZzBvNZWkWI11/yiOjN9UlBsNHTWszUrsz67O/83iRZj4
n+FMomnmwvqzOELV9fsP+6oi+/5J/F6p8CH+j3exbyy5P/VgbOQosgJb2clsIGOUYz8eFp6vF+No
T8150nrkswuzM7gtlaWfwmuKy3NicxTGXnzpOs2WRsG5rsEB0GjpN1Zo32RN9yp0dmLjGANGR87g
GRu22cfMNJdaD0q5NI5+iQ7DRIHf2yNUFOtIdBEBsl1xiSZuE0beUcbaRkzaNZLOe28qHxzWKn5Y
s6DxoXnTXE3lPiOcNtY0OofY2jt+/KGZhqVm6+i/8ssOgD+E9EvckQx43ZE5ykzjQ7pmEt07sKY1
3tE6b4ZPQdKewoBTvrE+WhGbt7Y9lKGLsCa46O36MozjywCNC9LLZRRXlx3IWkvUJwaHD+j+djEA
8gDhsJaJc2qkl1Rl675DwirnVaz3yNLkVRx3p2iYlr3wtzYkYBDsl42J0iT4ImHKrwvwwEDdu8Mc
+M/hADzbtR/StN9rMlj1jryJo3mrYY4pqnnhVs3tJCcYS2NyjhwPJxts/9S9d2Sxmyd5U/jtp9Ic
Ub+Wl3FYH3u32DlzdyiaadfVQL+i6ouXVpcUMaCWlebCvvFiNEy+Vu1aD6WJnQ+EtSL8MSbGXWH2
bAn7JqjcZZzgBea2de609hiZhO5G/b6ZwTN72k0ajHtDDz/YxcTmwFq7JQqCGip1qPjncajXSzXZ
QhwyYHKpQfRPXbgSifvs9Swaqnrc+hUSjmisGHWy4iuG8VNJFR8tmobN61pOwcCiU/pNukuDMt63
AhjV2Z7nEc0MwHBr2zdo2AODlUGv1NJKNi3qLlfN5E0m2upQuqTDSyWzJpjeOo3O3K/6yQAXNQI1
YQ1rgg6Z0xvTMLfE11Opod5OS4gyoOv8NW9pXpbmPC8NJfdOK69et0oC3nmIwUmVcFCpTLeJPdUr
OBQjKg0328xKRk4ZZS4GlOUg3vQ10sWJWbV5nfgTyMj0y6Dk6IFm3mno04VvrdANn2fT2djo19Gb
DewcGY4jbkeUePJRw2lMh9NTo0Tw/Fvk8BW7XwuFfKKU8qL4MCjpfNXLFgw0cnqmkuDhK/tTRE7H
Qlei+0rW3UrawWWicgO8MX0JNNTSvY0Zpley/cz0X3HUfywn895B18/rj9E/63I5KdE/MqloESsj
gFMiboTmByAdN2OFW8Dyk3OPewDa1gd7nL7gSz6kuAtsERMMr8HUx3eQzFC1i7y+ZNFabwplTjCV
TUHgVyirmEBx4GlrM+6tVWdbDAiM8nFIZz7lunjRhHLfjYNiukflJs3Gfajl21RnHBzM/dMsEErC
wz4nuvcp7sdPo903i2Ys+N56LsJ1hq9enMOgY0dv1kQbVDnjd8vchsJ8bCHXE+WrHI2w9SJSnTs3
eZwiGESBZn9OQtKv3QAzRNd+0rpmJU13Wo6hTnBM+GAhTV9OEPZms8PigTYI94WJA7ZBeNZUdzHL
lpWeTtOaaBGW2WH4aClNVliFHt8vawOQESdWMHCJJtkEdo7Lshl8aNqW9QVkwLjtw0jBiijJs4SM
rKLeE1Lg8tr6A5CV81jgzZ/mjmBgaz/EOviU/kOp64d28And0IIAC9/EJkQfj1ms3w5Re+GU8Z0x
efqCDJtV2aT9wrcHa+WO2jEBabcop+y+iW3Mf6yHVrlX5d1tHGflphlkFEOtCNmogElaamkf721c
CnHe24tS97UtmSqk0Jeo24jDE5uxMwFfTYgdJPt3Y8yvSYL8vSn7bxcj21dxia9I/lh8/H9di1Aa
/LoWOT1Dv/lJJcID/6hEQJoin8I77tk+CvS3YxoUOKbBXNcLwBn9MF/2fmOGbMJTUZ2uQ839thJh
tkPn6/yXxjSkuvumYyL/8sz302V0zV1duOjPdHHVRPaaaPvVmw/l9+LnLeOcV/quY2c+TqHj8A6V
E/5dTewOXmZ1XtedpZ0eEu+Dpp8DAh/snRFeDT071vWvn898J0RS7dGPz6he0ZtOzGQ/mTBF7qCq
E7bsTxG4sUkKE5ttJOT10Aj/0Ldozd0M46l0ET1PNZzNMXRw1rYeVq3S/Tgyddq7FvumqSaGyJAC
O6cfHx2Rfyh9M1tWjY6VOPsSjNojMTBXwjBtXEU4jdKoUc7knM22GbOtzTW8Y1ESkWbjbiVYlw2q
fmsTVYnYhqgJlwkm04XXdBbdlU6cAJAabfCXVZfc+FR3EHyQ5yf9UatDfkspISAhSt4aAJc9gbhz
h+sQtiqiWWsnhHHV4zxlrbEvdfboWRpdCNzfqLzvG43teF9+7GfravTiXQ+Qcm20cpu09tau/EMM
EWYRu7BYtKoBURJPJ0LR51sPSSNnusPE+1bUsbtzmbWkZJfsagKh2uv56/ClK5pRnHNmCi3L4Muy
mJnYy3YmYsOq2ZL5Rxf5FXk2R9be+zFDihWERNRkl9PsPuCIAqjBNJnICmvTmMln29Ffck0468Gx
T2Nlww+xVn1WHdtwQEo67ScrudIx+ZdhzaB9OmJ8O3Z+I1btXOjLyBkuZK8/1JB0bRtpQ1HO907O
XCQspuwy6cqrMmuhiKIomrODLjJvMVYu3p0WaE09+vBSeqw8NjRo1On3CM5YfGt6tDGLChhfN7Tb
PDTltQ9I75hPAgSbb17kBbf34WzH/o3sgHkZiOJIuyE7mWCQME+uulK7HXp8z+wsF2LM134SsI1s
X7yYHaLhptcmcJOgKzoc1wahQ2qiM123nWAEzwzSRUY9NP0GTfsKhTLWd30lhEA5al8VYV0vh5Ht
eJtn/c04xTduaOzhLKz8yn9EqrocPach6ERjdoAqt0QBAvtrCwURiRvTKvD7RKT0rzoK27JzV7Vt
EEDhBcRIEbkGtmjtagNi2+gqTvqT7aRwQIvtqDvr3CuX3RheSCl2jcPyEyKRI7VLWMork60sl+31
hCYC0QcVn2WHG5x+H+xGwoyAiF8rGW3p5NMuGyDwNjk+OAoCBGTaIZPzHdsOPJV5SxUlbtNeX1G6
87XGAEjgkvkcdOlz6vknUefpgiSQbMkWe1qEEryTE/b+7usx889ND3bXr2967fP/WoIYe/7rbU89
9I/bHuhQ7nssQVXWJIqtNw04iwtwKkhFHZSiplpcfJd9eb+xiHXVEgJPFk462vbvDbj7G/pWyyQu
g+8JQ5b/yB0Mf+WH29LXDpz9iI64zHF4NvUi3t4kPCMy8rxxxNn0G9gASrxDchuF4ggN0RwjYz+E
2SZH61MWJUtRGqGnAh1Qwb7eR0Yg0Ad57NlSRzvPWrjW6cdIuPHEMVeiIi6tDxMqIz+osLhLZXnV
2nWPEulbIFA7U8YrgZJIvesxAsW3QG1e6WtCZshI8Z1BXxujfgkCuke6YPfbOIxBLQIYo9BriS4z
gvWcNtXCiIh7IXFxDkGlsfURu84dipUWwtyj6ycPCrYmRnlnFY/tuOp7/b432pUHRmIwW0n/ZGfK
1EwqYeN8JgYwXlYFP7cOQKV0Pe5Zan9G+2X6OcC2vJ5CAbC7iBVjOt5z5oT7vOJkYKKxFiXMLV1Y
+YXjaMORwEIUXn1RLu0mvUcRmi20vCU8PkrPGH+XTjqBZZnRabjdXZPULpvj+t71onNVo5dCK3S0
R1gSVh2qmr3sVqWWV8vBpscNlI04q7tTVaWwzieRb+ZewwLrHJzS/FCkPZM3tZIYGIbPg7HzLJxV
U5a89DSkUTlfzmbR01BCwe7S5jFXXoJOKNRydexiH58AYB/W6d1Sm5mLiIyFhhSpBfkwRaBvuvu0
da+zcIoX1iCHlTlH69ou/M2gic+1CXCGvhZW5bC2aw0QWQHiOjlTllxYFu4/QmEv6p7vTNjJqzpx
24VPutFS76dubePfkWW0lGm3rWvr5Dkxk5NAaMuaZEpku+Uqq7Rtk2oMf4U8zUit+e1hw+t898Z0
zVNQ5SqnjTBsu7C9pYkBkXHKnCxyu2VKnOkEQgzhWrKaGMFjb/q0PEV2+HGq+2mTa/42kpa7clr9
g12jxbZqj0yPdDXVrQs8LbqOBuNojGowMdI1By+NO6A07CWfoXT3ELOMBUOrY9vJcyJkrQHF8vL5
dRrzbOfRGAZZ9SGDrLVk/X0hVatddll1SNvgSWTIhpzmxa8mhNTlopqjDfUYiq/hELTaptHNC5HH
l4kQhzGVl6XIr/qSSDYw8Lifw27Yu6HzZXa1jkpssOxt0oUeqvOyn29Ndz5FNZWNgZ9xg+kY0pnl
8rz2lmZ6O6h6CEjqbqBAapwnqeqlogvuS+7UIPAvGgUwK1qHVs9aREDLMLcwj6AznJzumsOO7hEM
HwxseK+kgYcUbJZsj0hP8A767YWgpPMMT9EFbmeQOmS2UfXFqv4zG8yfduGVeOIMCiBVJ1oUjLmq
HGtVQ5qqmhSqrtQ6vjmkkKLAUFVnQfnpU4Z6dvlFUJYWqj61KVRnpPWOAf1tVDWso6pZvQm9BYOp
Tz7qhyPhBSfSnDgmdP0KRyAXg1cb58HKX63ZG9f6PLx2EjRU4Y431jBVe6vsPxqi2NS2/jgl3gly
0SaQrBsLKualb0t7i2rwoURwwCyFe7g/0UQT+1Q1V0GSX+hIJ2dVxjh1eJlCSF0lbrYT0PrxzDj3
PsMqnrlfWoF9Z+iOuY0dUEBzbVSoKNNxXWvmaeQyuPJEcENBuhtzGz5N3hcLjywns0qJWBYwSxyv
XfFeEyArpKoGhL3GNXScdgJTgzV0jajjSxR8TirvRrbWTcZnwn2ALMKozKme/CsADRudEDyOsMxe
MDIAgjUPaOz7dBvXNfPDNKezaEHE8+N8H1SL40SH3IkuY5RwaC2S/sLWjHLNL3TaOeZ4M5Yo7YoK
xY1IMOf7eOOI+uKybaL9SIRpqCGtgC+MywNdivcR3WdC+i05WSPzgAjbmRbXt2YCsQqSLJNSt1uP
DMsWQSQ/ZyaGT01aWwTxqFjqmkByBhcM+W47Zzzaukzx0tfbDjS/k1WXg8CdWBkDgbLjjT6JNeG7
0wYp0oWogx04++EunqduM3TmaxYwsJKed13EHhZhpXD9p576utBQC9BfDBGQoSaT6H5STPG4N8UU
WgrDsFhc/A5N+WObYcGSo45RMguLEDHa69+LKZvBg466XVe4FVKaVXX2ezFlsx1RhRfWd5QgX9cj
79YXv1pnQGh5X0zhbA9wtqNPw2Lv4Jb/oZgyuIeBB3XF1djo3qbssa/alU0KrT2AVGQY108gSWBR
6HBPHf1CzwujJDXSy8jQ1cVjUoTyBDmTr5hl1bdp59o7Z+zk5ZCF1UvVhsXWy2F/x7mHdpSLCcYa
PZZF66ONV7Ip2nOdpvaTprvtxghhwSzD0IAsWoblZcZk9cXX4hvuPhgHDUM7mFE8bGdsSvetPzlP
ee81tzgpu1MrY4+VR4niyeu0bGM4IFGsTqeBs6T5Kpwuf3T0vNxFDjuDsgrlcw8aZ41uGDp2Ewxb
Lx3IpIz76nogiC5HCcxtJqpWPcph9MUaVs7PpKvG9oVB4Ng0blqRdVtjbjvt1Y6CNL5E1YqLuA5l
2Zy9uGJuFxljfBunAcOMoZPwKlpOSCiogSZcuGg2GCvSogffY/PcV9j3Qd/myYWrlbgG8DVNn1J8
5Sjz0ekHzDme3CG3npELOmKhQd3YcI44h6ljpN4OYn5WJTOlKfF0F2S+4OqJjGAbVn30iYo9WWJJ
nZ9DGc+vbjI+Nlq9KaPkoCliW2G4/XJwkARr1RDhbDS6aZtNPtg4JBPHTIzMsNsA3sFYCAwIyRAl
G1m02H8phoh7yeoH20vyfR4Y91ZWx7tKq6dFrA/9wmGiDwpOurd+XGHu1YgAwFThXmK50leFKQKd
89sRd6HUGUP2efBJg5J6sHJkbtVYnLF1aaum7Rnqapoc10Ne1+2K9GIWNZqQe4z+5Q1wETYaOuTf
CJ71ag689H4MM5zRqZ2epIYS0QhhpAwzSneZzeJp7kbtgi8vw2evHM4Mf8JHIquG+zJtiHAVI8Mc
ohiv4h44V4moNF+Vtt3LhZRknPYoAfHbjo5cMTUikSdiF7Mze/M1cClacuTg42BdE6mKQ1sXrvFa
iWre1KqFDipJqveAg+Kfs/jbWczB9IuzmIAielscbT85jdWq+lm2//6XRpwaC2T4nWjr6EbhXv/Q
2loGBh4Uu76P9I5H/dnaMnJDZRwQZsY8Vx3Ub1pbGlLTp/DT6VT/M+EdUoL3pzExZjhBXZf+mk2y
Mp++bW2BXws38n3FsE7EhhCaBkQlKKR8LB+SxoLEmDKWkiZ0ohyIMSFC7b52jC89TcpCFMVwIA+V
szXOUqzM3S4S0Rr+qAPjiRmoKDu8L+BBUy/9NIQNRiAMlEwVUdDnwCTXnsoc1qopuIrr4t5pcIvU
gwXcmJhisknv2YuBykseiNS9oyUqz57yxQjlkOmUV0YfjeRQYJ8JbfKhsiC4pjPiwKAKwbjUbSKT
wqSkQmHifpFW47TRx3LNBX1D00iaDkVNrtWARKia7HrrqLKnp/4pOORjVRCBDDlJVSJFrbXNiK0E
Fio/T6qMElHUrz1VWlnUWARk3MIR2nC+EvxLWqlsmmTfU5cZRuwxZhsue5XD6s8RuBBVx40kwKrK
bszgmuaNImzNN+HX6k/VgZ6qCPMEL09BkUhaziFQVSMhpOuZMjJV9WSiKkvKw+2gas1aVZ2aqj9J
jySda7Y2HaWppWpUi2IVdzjqP8pXdqQ3Qr6YFLUeP65TVW6i6t3YkM8xXiVQWdTCNkVxqqpjS9XJ
pPotkG2jLFM1tEsx7VNUI60TV3VhnGpVb+uq8k5UDc5KwtzOpnlnq/o864OVT8FOQF9woC9lQU4t
71LU66q6JzpqQyzyhRTtFZDjVZvrWyKMN0L1BYaTPASqUyhVzxCq7iGgjZhpJ6Z6emSruqFd+2ir
fqOw+hsaSwajtCI887geaU561aXADUIQZ0xXECIgjtHKBKqn6a3mk6G6HKIUTHaKDPNjrfCAbKDS
Xk+lBHI7bxw1/Gf5Vl1GveYdKrUaGL9uCbyvGwOrQtDnuD6NqD8cescii8PbNNW4U6roybFgnoXN
U2BjhrGnktl+xVOwt2U/vGuGSS47h4/Yj8KtVsTzvVUJY2GbqCesyrv1a/eiNabXPK4BFWTOTR7G
0YU79+u5IOEiRmsA04D9tT2zyYtf0rkKWMR7LyixIHUAAscKQN6mMOR1Wws+4uYUMmFfec1QHYTH
gAFQDxlk9joSaCrCyMf3N048YiT2rByiaZMa4Ze8Cq9ygqqBQ7Y6i+SOnKgO0Vo45xe1WerrWXfr
XdTNgEJ78HLlYUhNVO2h+ZRWrD1dt22Psa3pJwtd6Kuuh9md0O1ql/c+wAojjwmZ+ufu9O3uRFn9
i7tTzO3nZ0NXHvXmzkR+LSUKEwY98FRe05s+QUe3BIMKzdG38IbvfYLxG9hFbkrq9sTSUecH/tkn
4HCzXBWg+Ds86z/oE5y/akPJj+BFcId0UFn5AbfHt3cmUz15ldc5EYceFF2bbb9hDx+wuRL3Vmvn
Kmb7Rct7ynJz5JwmY2yKiKGbEYaAuX1lenICi3rHGgPyjoGudbICCCERJ7dv7fy827htuC5GYzcw
3iqIHkRLWKzIRX6STrsks4Zp3RhTbzEN8NITqdiv8KLWA0KaViP4ZDIqjj37Mz3VNpqAo1pSQNRN
im6XVs2uCQJARRFQJGczE4kOmo6AF6cnPVzce6wzBzPullNjJ0iDzeccWbqp648olJyNF4bdsoLJ
uG2InVnCcwDi6MoDqqt+44fVRWtqu8BK11mc3pIHVYEVZHrYV+N1idV2If1qM7gqfIYXd2F5SL1m
f+DCLOmlON/OgZW/mElcbSeT8j2JGPtoU3jX5ILLvBtXejloHCbpKbNJlk8w56/LvsqXILxRIo9w
tLzJXxPbcIidtlxFQ37PIE7DQV8yqhDXMTyyRekHB6w7yFic9hSU5l3N1I3x+TU7TG3dzXQcUzGg
Q/C/0JsNRNiV12PMTB0O21OaGjeTrDiXQuEx4LCK5eRad3ORPGVlvRpyznN8hFg1k+TIzP4irfUv
JES5u3QecRIm3bSOpYsDKLSuAbk9xCmvPwIRhjQOi45LNnnnCvqI0rLxjKKSSzPkXflqiMBZJTJh
XGMwqyaHIdERiE9hUFLRxI9wM2/GhjRH4dNxzRZR5ZGXLeqS9KN2ItdqSHkckN6A+U1mbwvRnYXw
H0gh4fcuGRsbYw3ErXoyuuQIuOXYJOTNa5HhLx2XG6Ntlkxp5GQuC80iNKetiLQQl+AgjjVGI0oW
FBqRTC71VDzVaZ1s6hxrcZc0qxGasTvwQoeeysHI+11t6FemKZeVMyiKAwSKqNvLsrrvtH4rZInn
UGwwiBMnVCTwQmUfAMsdmDbmMesIvX8E0ESLhFgwHbdDUk2rtKzzRemKsz7xribvSrBeXmZBf+tn
+abVD/V82fan8P+ydx7NbWRZFv4rFbNPRnqzmIkYeIBWpCiStckAXXrv89fP92hUkgjVdA24wEQ0
etHdpPiQeHjm3nPPPQdRoUF21l6fnitGeqG27io2MKVvTDh0Aw3GInRscJ2mWjkCilNcMYlvWKCB
OzUl36WwgGR0yqBpYuRTdPsSEH0KjYncPvtRH836RLPmqqj2aVF130OS6TIbLl3frDPyLxBzx1kq
qbH2lcKYjTTOAnJRCp7YqdMvJaknXO01d5pZfrdwJBsslS51r/exWCOTg/+kowlX64vGjx4zrb2l
+e2BhDqcZxW9pp7WXQwNRQWUKWAX1cghcRy12tRoUhWFKi+ujzl7CNvsHAywLyCcpUm9NlIKpAut
QbfjGttJ2176yLsuGx3mmdcVqTLpLSSF0NT0emVup5KO1GmravYK5umQTzB/GYMzWn2H5sqRE6W+
6pxS0o6bvsmOO4OG8tty1NX2PKrzVeYR/OUhlelMj3SkmgxvUsjjVim9y4qufjS8+o2up82ilEoY
f5J5bFg9Lf62rk+a2HxAjqqi0G3S9hrqt5Fk2lO/bVFJJfXdaBmLOUptWjgAkMC2sz9zV9/SZ4+4
kU0ngjYWzxDvQGnpugda79SJjKPOpKyR6hyi/nTIq1kfOOGCQsWpnpZfJLc5TuzsT7ByepY1gmdY
URUlLmB0I55WWr/xBxJvpNwdK98GUYZ6PUoMtWr4cwqCRHN1dyWr4ZlbOSdSONzFvvo8KjKjeMZz
1CbQroKZNG7UoUfr2ijnrldeRqKcJ/so4Peznu5r3zqVo1ieOX227bxx7dMBjCNgb04LenTxQ03O
TEto7BsOmYgkfaHIqc46yxghGDSnozzAxujdKbOQr6yU+kSVyfVS01vOdhRuLSewcLyDaJu60tc6
mo2Gd6OWqBfYeoihh0ROZUdOx5sDiwmxcm10IA2iUYw5Z+BNOzxUzpM+7+Zodp3kdq1ObBvWoKdY
50GXnoIKo/CLJKGT0u6UVMRm9dZ0umGuttHVQOZDBEl25jpcIDSJX7tNU82aLr2hYrkJpYhnbMbb
pnD8BbtOZw2g/UjnqTQts/qpcpxrDuiFnNNXk/j1RPW0lRZm11jvLaUAGTX8SNfkcxctXE/HyO4D
LroJie2ZLtfHusG+w1DAhbSslPislWtParkS6s6boL4RTvwoWjvGYE9aD6lLWy2WlRF000CvzqOg
uSASWaRq/a1NoDeC/6DbrLIAG72fR3LSzlGQLqgeudZS8vitRaoyM6N2mUqSsjSpj6zBxpwpQkTn
MkY0E/QPN01KKliY1Beq/jpGnGA+ZFyCHFkLKRi9pdQpxzHaxVPgF8qw7DTQKvXCVNCalCpY1nUq
J+tRxU2yBVbEEKBwp6GlrXU9uPCbEEpT5i2gOiMeF7gccEa3GhOVLWHYFyqCOpBa4SGaWf9AG9KN
ZhSo71oPo6499Ka8AMS5zSLvFt1ac1ZjzOwm+a2c2StNB5WEUKKF0lRTMX2SYwTQym4rVAkbC4Qo
QgupCb4AVMFirOWrVBeHuGRA/C396b/D7tewm3aXvwm7g6dyJ9eBv/oedgt/GJrIkawx3toGvofd
iKQj+WYRYSIL8EKDeAeEnCN6x21Q8zfongHfASHniN4DaHkWNDBVFwyJfxB271BC1xFih34HHoTl
DO2YP4fdo+YnvpoFgO82Mv1uMoZzU/kz8x6xVxzxVp2UOCsGwmIxwHzypMv5eYkJiamk502RL0x8
GWP8GYnEprIwbKwi/zYtjWUB6KClNoqNFKAr6w5nONq78Xwc8X6sDasiooEIpHrNdd6nX+nNQ6HG
kfHNwjhrJgf5nYubpGmox8aANCEuk6NPoo/rpKpLxTTpa0JRymc9xpTRGKwqyIqTEM9KBB1XnTCx
1KNaMNnuUN24HnG5dMLiFknfBP1l9Vni1CvK5luEhMxExyGzdKTFiGNm4BBj8smWuYPTKqEVRe3a
nGguN56F42YNSZ04GJeXVF9aeHKWVYsRCC6dRUdiItRE1mODhWfn6sehHCOZ3UkrLCWAaXDNoa98
WGZ6v1YV4QRqXnZ5c4m4bHkd4xUaC9NQs7A3ni/fyCjiUgFB7UvuT7EMw9LMs6S5gfdo3aKE3eNG
quNKiggY8pH4lA7KY4Vrqec21wMsEeQ8AejJA/6MhMVpDFsgtvQnzQKCcQzl+qWHv5PRj5TgW9XC
KhW3IBOQbViFuKjadjfPqaw0FXPmCaPV7tV0NXpxYK17RBfnrhVmy9oIjP4Yu7qBsk4u1+vMhnVS
WyhYKmodolqbySVxW6DT5V5VRMrbuC06WBKGWnNGy30y6akg61Og+nIG4kQVlDIq1yZWME0BKJNp
D6lfFhO4K+pM0yVY6mrG/+rkWTdWD6bbUMeNimeBfRK6w0eAYgitGcqzZ0SX1pgPx5ZmnUm+ilqk
mjMG6gQ4mN3GvX6X2j3apX17BUDjQ+DOCcoL4zHMq2dChqexhi3WWvE3z9RZCijIyC3OalGlHpep
FMwxYdHmutFiNqR5M82JVrpf3tmRUS8QqonnhmvfDTVl31w3sYGzukfIgEJJCmuxISFvSIPKnsqh
453GnnTmUXWapZ63SWkH0HvgnIT1AukDmPTYTNNlmOVfWo3clJj4OtfRTTAxRY8JoFGHA9qUzRtX
aNgZ/MRWuhtvLL4EbjwddKlCVPguNQyaVwYpO0YWYgxmDIXKtBXNJBib4DaE5JJfTeOyR1GlM2E2
+sUlDgDeOvJ9oQV8BoN+06f5swn0iS9sSzJLF1L58O975eVeMagL/P5egc+EdtrwsdIg/uz7xaIe
UfdF+hrSJZeH6OP/frFoRyZi4S+KJaKh/C8wB/KzY1kKTc+asNH48Vbh57Rv00JD/xn6AP/kVkFO
g1vjpx42+q+pIMOC4r94FN7pRzCHRKU3i6JKLlIl1/XTSm24SYYm4EiDs9mpDjF3y7FJA8MDxb0/
x2z0l0jsXukIEE40635oEUzMG29VwjQr8iDFBMiI6UCxzuRaKchNaSnKcrqaMMnDusEb/IWam7Bi
c+9MktxINM/U09DNzquhfpTMKJ8YTveo51I29zMAWAft3swOjnudPmvNCU+lvLgo5cyYZVjr0ath
trMaqBPgo6TPBX3vsinvW2q2eDJiMa3a91KvLHy8ymjb8VaWVZ/ho0luFLHrjKK762zpOq6HeBpG
ypVm1LceIcISSy97qWiaee5R/MeHCUMx+lrLuTJ4W3ZjRtDb0vaBUnVAG28mwjbC6CtY08XEJ6Lr
VXmTyMaTXidLjYiv0oNjsONoWkrStCcmxKKMf+2sErm8xX5tnfVk0Dim3WZEk054r3Uwbggwiecf
SrU6L8fgxiAAjXQ7mdHpS0xqmBe4msBYIlxN/EACk6B1eZSwQocmd1UF2lmTS2fjS7QrB9h0iAjY
KOxkHSpUoQ0RH3O1XEhGB1hcIQhtSJRFyG6PQx9ELxQRduGh/lQ08twm+DYrau8d/e1YFG3sjHRT
dpLzfNDpB48KmsTzVF2SK6AOSVxfCrnhHBfiZWT55SwU8b/Zuv3cEDkBTDri/0FF1Kr75pI24BZ1
YcoNnQwpHYqSUyxLgJNeVYWDZrRWDeiWvchD9G4cJiapCXYV5bRUJXfJRnOnHapyqACd+SKj6evy
PsQYhO6lC4Ts115I7mOq4RJjreuk1leO0qfYwZvXdSiAH+8blY4nU+RR0aiSUYncqhVZFl4nt2mI
9pin4g5m5TeSyMjiqruWRI7Gn1L9EXmbJhI4SUVKTsVpSlGy56SCFx1k+SnqvOeRThdYPfQkhGSG
DZpr814ki1aH7I0UljaFnQAJOuE1XzcgUlrZb2sXMwwKMpCqRBKqReFNg2VTHFxTPYpZgaSr7LUZ
BWlcMGurXqa4mE2MjhJ+r6juVEPLDaMwcnhcmZIw0GYjWTElIp9KSjHOLDLmIFVTxAlIooOXdJq8
2iW/jnrq8qy1K13bSMNzJBO8SeTkmJ3NNZGk+741t5Hho0P2mY5cKJeW/lyO8p1Dii938VmOXZwq
cn9o5P7cHLjBhqS49JtqG+vITwTDGmWejd44aJe9YAk9lDi8r6elPTyrVfmnJzXHXVZ/iYEh6hb/
1iCtZyMAheZAjlQEZoFKoToJsaIiNAXRKOv6OZeShDi2EzVTaxsU5Z9oncik+uDJqsBGUE/CfqQR
EIYh2fB+YfoqToEGE+ICLfBKDeQOlV8NZhzIx5XAYLwKi1l/bDe1wGdUgBrT77eIkKN/LzCcuqji
eS5wnUovVmYC9R5nBBRP+6vaKNDcFnySnsoQbZUIwKVGyabL2BK2iQUZxg1Z755lwrtPb9x+akne
levq51nuXDmuvtL6wZ6aIGQIWMeXbk7dC+GRhVfb8S2NZRgedTSYYKcELis2thHeIH1V417YRQuO
VfpyVf++T6GcNHqwwE5mw4F+OegZeCTkXzrzmi+QftRJYBi00wr8C8X2aVtpOnU0aBl2uvFdU59G
RUzrcfslMLAQU0GT3ECjXzYrlTl2wPxt214ZeP6txrS5h3ILToKzzURNVR/3mQJv1lF6dnRQb9Rg
gyU0mC+Y1dybGnu7iC0bEqWwVOyJdaHYpGcy/nCTMituUaQSyA3gTDLgW6ehwjHx6dTGM15dGnkq
L8JArhc4yd7ji3aD45w+7dx0gYFbOUGKkfaUKimnnaZhKt/TBwLJijltA3MNUo98k04llfZPNg2K
HI3eXvtD9KXjTpzWIU2UgQEigVith7jewHKzicaaUKAUgtyUSyPdp5BMkPnI4C3jzejJ2NZIkXmN
jvCSTtJHIzMu0PJ86iEvIpMb3lJ/g0INBwe2YXqiaGaBkOl4yv2PgpWVrmRFWddxXlKiVJt5JMhW
9EfE62osrjWVjR+n2o1ED2wd1I9dES8cN7zmspePAxNAmvt/XQXeOXK+XxHQW2lS1U3Q4OtpT4Yr
PcDvcqmMWimN0pmgfVEEbGcIvj4EfSbNkhLZlULwVYbMvlQwO54bhk+r4kjFPs/RB2vjxl3L5bA1
JRZD7bfqApcO/OIA321X2gSety3pSfNwX6CrI6fPGKH11MovsojuDzg/3lxSjIccmckFjbh3ukw/
aViYF3Jjfst0E95S3K9GT3sO5c7ijEViUFVLf273KY6DVixU/ivENbOB5ReitKwEg4NLs3JnVu0Z
5PhgTncTYsYSp7Y/EPuHFkVcUwq3cqqe0hXqT+vADeFm58eB4PjQfrocRlqFG82gZVmOViEMyynO
htx3IkMoVDedZoIdROXt0fckgGDbKxcw0+VplrTtLJNpRo0AJAfJvMGbQSE3Q6osKaSvftldU4ai
hhs406yLSd0UqKGNjdVelcFG0P2r2qRh2o3rdeM11TSRnWuQ4AsvRlsVNnI3T3KJRmbgsqmGW0zv
SfEMivhaInISim3ytFOr+9xLhLEq2x6FOEgUtHrJ3VQUDjqSSyk3n01Z+ipRi55ZiSAEONGzJUr5
cE0e2qE8drjJJ4NlPFSttUShDZFWT9m4qZbS0dBiEGtGN16S0Gzbl+rUbsxpKCUYyNzLtndCYKCD
mUrZRGnCTS5EBfImDM/UAInFApFo+LZ3HqJw9K+HX5US8I1uv0srobqgIsOoO91NT8yFbsEIQyLP
0nlRa94UnjaU7qjg42DzBqGuRBcn049tiui2PQiHlyKesu+eTdUCOsZGZ04lbSG3zW3esnX9UvmC
+WA5ZS2camZQCy3OcgJ9/QrA2qBVStEIL3vO6TI97fWSvl1T3yh2/YAPBx44AYJYvc8Z1MjXYxxs
+iH+CtyRzLqKI9WS71tR5rFxBwDTQ3Qgi5uTvCoXqdzbE3mgz5yeEuyxzPDJER3/LU6PoCtPY1Ju
RicNJ145rlU1vUWRfVZDX8tbAIeKKM+KOPr8gpXpO51FC0vAQzbWUu7LZ9MnpLOyHrE9Yr42VKYB
Nj6Nla5dF9w6SreAI/dh3ZzrerFBrVaZ4eq9oBefm1IrkCiyLntfmfcGlrZukV31lbMitQfslTAa
Cy9qKMNwbMCCNXJaV9gLtyf0C64x5pvGhtzSqRwqw7TwLDX6EqejeTugWmCfFRICzV9io87b2SB4
0UYubf6dg77moNTy/yYHbVg7Sfq0Iwnl796TUMURitsKUimqApQp6AHfk1D5iEq+YlqWSpr6I/kY
Ay2d/JPLUzVpT6XH+a88FJ05fkD5H5W5FxryP8lDzV/obq9qSBDeTEWFzYxCkchTf2j3VVqjTCRo
a+ej4W80BZJNmxmTHh/5MQ2zRWsQiIdufKrnMYGMhjJsoyyDvD73G6xy6Gqh/Z8Ku8RxrWy6Kt9G
jX7nVjRbpfVpPyonnqOvRh+EJJKyYepb3h09vF8oBURzM0m2uIeZU90fiokb48o+4gF/nAy0IsSR
X1GArSm9aP5x02T2SYr/jO0L8yTBVh2xoSqd6N4Esddc5cInms9LgzjYCW87pRV1UvPcJvibqQ2I
ZYTixjn17UczywgkKGiiNmERdbeRsqamclLX1lpzk69E10/4/JxWuiP8Yr52uJzAMvOWmdkgFDfC
4mvNcyOzNnEdo/TsG9eaJM3Q6Pyz881F1ZYtAjAEFZ1jX4A20dNKS1sXnYVduMglxWUTQk7DowGK
TyndOKJhLBvzmWyEJ3459hMBxYGR1WsaOikxRiNZtOkkCyl0/uyt5MJomxMdUsFZXnwB91skXLOD
hRGigV+W1l8OIKd9SKezhjWLptDvFku3re7ewH1YmA3pjYPm9EqLk/tgAF2WZG2WAMnCcQrPhpap
Q+j8i9y7xKWRmXwr9DX0NpTcatvLJvQztWeejAoOxltw8cxuOjTtlQ8Izf/GnhMHoVldpN8aHsPF
LngaBVzSepctjUBmbmxlyhVNAxffQxji5h3KdjzLBpta1aBdBjYV28591IscVzbT/Kpn5qVElWAq
1eaJg2k4cIDlw7wg8Q9K/1LCcMygC4nucmLvvgi/IuX3AFo/S92EnovoMUzLb56DdoWpGgSGfKhV
7iodOKaLRF3We1MIIQtNF7Q/C7u2LIhon20gMAtZmmgJBLyKVC2ep01PrRBqhG0Y+Uw3UdCQrfw2
y5K5g12VULb2p0VMQgCjAvyyV+jVraB5ShB7JmPPFYkMaX4KSfK6GCMyiYaIW+YKzAIc4Wgmsun3
TptJXGbHMu3NJxAm8I2qbgPTOkEl4DJts2BqBVhcSMo4LpOUCD91S2r1A3ce5MQ/87S4slu+eKPz
ZoMxnsmNi5+3pMy01kAix75sOnfVadT1FNddW5FkTwwWPYqD9qIfEZkvFaAf1YuqSd7RzB0W6NFI
47Cl07Kakk0SgjOjkxpDYXD2mRyZYDOI8ygxTXr4qCyRTEnmQ3SJ2zem8aTy3riVomFbt+ZXr2+/
RjH9O719geISncYeFLtOJb5DIfEbdHdC2diaC5tlf2jNDc4T3SRXaoOvnVoutPwt3+uw0StjnuU5
RVgAtpkq6U9qX53GsnTay3U6R7QmncvDuKVzbzXktTHNTPq+ZAswmFqlNRlKgnC16K4Sq8umRVUr
S1f1nKmqkWZ1bZzOuoYVyM+f1RgwezBidxLpRMh2LF2CyjxVCUtCN5OAyMO6zsvirIppElMV/SnP
5XML74AqJFeS1Fifpx0K76YSLpCVL09cRV72qc63zYwfFykfGhIPLZV1eqfjcrogW4ZFFNhYJrQE
bPHgrVxIKatMGbaFifaBw9FIfL0oUG2Z+r5+Otb+eSUsuhHLgNsVaFcY83bQeOGjVvIyLPWv+chZ
mSlXileo02yEXCxn1tbz8k1u+huVDzfrAlB/Q26ukXlXplSYinkcgjWVBos6qty71hzvyhocodK9
lRdLWE4rjZCHiiZ63VzlNnYOZcT3q0m04oK/TTuYjxMvARIqQdg55TPfOeegW1KEpi9Pr76irPMt
UuubskBUKI6aG90Z5ZWidgoIgAqgXoUYv9m+MR18SCaZR1sD0kjrsgqvUlNbjjlCW26k3HURnAgn
DtEzdUKsXCLB1TVR41e/teaXrtqM7m0HGuhrX0CVJsB43wibrwMt4atJ6yXq+2dqDvqZx0q1kkPz
SeGgnyvIUpKosrWBX1eSQSRomWMwj62Asp+uzzKnO6ny+LJ11JWFEvSkD4b5OChX9CMc+9kwwihr
bqwazEMu6k1Rn7Um3CgDiQnP8i4QoghmceYES7UoEQwogxtlGJf0WIcnQEfKApfdU2ewpAUdrtEC
t4RwMgKRomhAXm24QufS22BvhPQfZvFUATMPQAXHDHUFXe0JfUX/tEtrGouI3w3rJsygmWGNKxr8
inE4U0Abpn7F92yhJrHy7HoeQDmCV15t3Hp0zhXo6+fyKI0rt6r1NVLyZ3Hp2/YWhs6wHHs6wP3c
LuZcHiFtMt4iMZRTNTfWnEYb02Xp2DpoaQ0OJpW69i2wck6ItgBQrKQVYfUZhTpvlfrykzbIT3R4
3nPlQCn0+9UgkwzbFlmWzEfnGStNyWZRH+PLEwG3ef5SlUN83VwEQDEpuvX7pF0OSh3Ou8KfF6iP
kLXiWt9KwtPRPPaY7PweWpaiu5fQIVaS1KkoI1jnWg49JWgSZQrP5Zrp5xZX4id6Jzet6lmLHEmw
sjKXoV1RdKJlZZH2cgRnURb+zAgHKUV3m9Y9tJj4ytCHmRkb1ziKXAxFCBo0RutONxdlQNct+wRM
rF8odY51hP7A4XpRO106xagZQwSzuISwv+CAU5adLuguCu26Pp3R1ojDpAm1BYvrc8uh8Ba5PlJV
TjTMy55KLOd+PPPN0ac0jflDj2BVbuLtHGTqdsS+mO5lWq1IcCaYTZ0R5N6WZX7SW7FF/izNFdyU
jc6+42oBqFIvy6I9ZueuLBV1j6Lzr3M6UOF3xaedwlUbKSeBWx+7cXZj5Motjf/cEal1U6n9adaT
2iJqCjyOEDCqqd63ZMCCSZHi9RhsSr08BWha5J0KlhPYX3wDrydTMq+bvD0de7yv0+A+1o1NEYG3
VtpwApG1WQ3lQOLYm6eJYsPuSzgIJVwqjQDUz9BXUUYZXh6Pm1LT0DGhX9wczZuwS5ILDf9CnGJs
aSJ10LFaH4Y4SniiLV4Fnk/SYZpXlg5ptlxVugqMLof3VkcMY/fNhZXTH+qUbbb0nKo6SQqUagqt
w7LVsjmU3GUUu9LSIacm5nRrNpcR26P+1aylDf16ydL0s7VDtEWdP9dCtN8xEw/+3zC83+Q/dqpb
fm+JFL+9yACKv2YfJDD/pX/0TubYPdA/kssUVm8/JXgvD/Yi2Pm348RbAL3mEUFOjQZSmkNhf9Ob
JF6MGGd07L3+WlKECwJUboKe14LmD3P0u1n4+w/4UUn04zh/+/C/aoaKlHTPSbBFjquSlVIgFS+Y
6T9Ngkqmi+OD6G/9EVrY/Q3+Kx/wX/k3/2gS9Ndv51WE9Ptz/aOVYB1pmo4WmUxqvmsl0PhmUz3W
CdIPYRJ+hC0Mw0HB5R8vAr7lvzaCdaQaukmnND5l4sWE/rQGAEKAQVRK68rr/BzCJLBQP2wHfvaP
Z0Is+L+mwjkyFNY6om2/XQn4pdORLuxKeK/DOxMMSG77TQJN8jSqmDS1vX3dLLCf1oMwYNB0hWmg
h+N1vRzgVIhvcN+p0LgC6BqigRW3UPFCl+nDVIABWqLz/wDnwJCFSOB+y0HDJwj/bwxy0YgWLy6d
n+aAexIEkrar1+k+vC2hvJ7a+9wQzhGkEcjc3BEvL3Fq/BgrsCUcxVCgtR7qNSnvfS4AbaO1gZTv
7w5H7gmLl2FYr4vu8FaCvnfAxOHIx6PNXPtdwKQeaTYbxlYPdiXsfyQ4CNkRE7IUfrsdoHfQP3kY
ARO79UOssH/UiGg+Bz9cOObz58NAZh+88M1fA6pDDRXk/c9F+4jGE8fRcIR7ef2aQ3EuYphtU/t9
zdcO70iQX7fpHpeDrhxZhs43LmZCvD4ECTrbBTNfUz3UKOEtmt1jEjSKpSLigoD7eiT8mkSoGpMA
cQrviQMNleTXB9tnEuwjpJ5p23iLFkUA+uFkoPrLhkDdmtfBngz7oyvmkUWB3EAf5WVPfJgKESzY
CMLYb9HZAZ4M+6cPpJNCrxyl4l8XAueig0qsZhzqkWDsHSqRPMGPh5ug/wZXAFvSbBVDJ/X1vQ5v
CWj7RwkakyAbUN5fj8WP4ArgE+CbihjdgZ6LQkJ4vxSSoBlFf7o5Pu4DkktEjeklfrs7D3UO9l8I
KnAzoiKkka8r4UMabRyhGc2BSUwpXod6NyivJ9Y+1ySS1jLOC7gL/+ZuEKi0Y9L3c6hRo7L/6Wiw
71+QxreTge/7p1iBC1LE1ih+H2rApOyfSJpHfDwANB0Y++X1cRJMfgfcerCTsH/+IB/pYCqoAr0e
DB8ANlGD4dc6unqHejzuHzrr9IurqoYg0+tC+DWTVOwjpPPJuEHhDvp4/IzQmZIckaH1hq78ejKw
HuB9YhggxPsPEnXG+33PkOEln1S4DZ3f4WxCjBIdAbC4A52Et29nn4uSCFroFwDj794UwCtwjDkX
RPH6IFeCtv/JwCQwBTp6EK/n46+BE9VZLInIMpzX/XKogZO6dxxNRsWu51yAjf5+CP4aMzgm2qeY
Wr1fpwe5Kt6AsP22BgaitIabv6vZc6vSesh1ob9P1WFOxd6RJPgjGTbyf6KrQLw+gA3ULJA/1Ikl
D/SUUPePJAkPKDx9Xw4fQFjCaTqeUWsXvreHuRL2h+PNIyznLDQr3y7NHUelSdsHTSOHCjsJjR6+
nX1OBufIQQoCEPYNeeQG+umQJHwilma/aAfB5uGb+LU49VY63GcS2A4OeRWJ028uTTgcpBRCo+lQ
t8P+kQNbnmZF7BneAukd20HYUXMyvsarhwdAqvtj0Db+YS9ExzcUdtckYPaE8ffr7XGox6O2P+5k
U7uHwoAd6etH/XAyiJtU/AdcRrwONZLUXu/xfc4HIDhDFVy33wAvBNVopsmAtoe6Nd5O730mAUhW
IbUAlv3lioDSpMDxgPP0Nj0HekZq++fZGO6+aCIRGr2+fpkKUkwSLxpgtYM9GPZHXAwuQ/RUCAte
b8sdiAuESDQj3s7jw7so3r6dfXbDS3JpQYN+W/MfTkdCBhUWNAojB7od9P2DR12sdgGo/L5sjTYF
7FfITS+vQ52K/W9LU4BPio4ty+sn/fWQ5GSA/MSOOdjoSd8/raSCb8pUqXEIeHl9iJ7kI37JihH9
+LwOdmvsnVwKmhNirpyT7+yWjzcFzjs4nh8sIvsWy+xzSAqYAf6OyLHfv++fk0s2he6wGA42bhJ6
hXtm2PDZWPKa/DvWn8BaHDIKUz5UWFrfP7kUQh/oGtMX87oSPpwML9GlqYPYHuodsX/ghKSJLsNi
wrr65cWt8/N2QAZaWF5riG4eJuqm759hQ33UVJUmureY4cNFqSBZyqlxuDDDB8nWf9xNKSg+lPLJ
pt6ihR3Ro4CbiJsO9Yp8o+LtcztAZ9BQ/iEket0Ov+YRLwejaCV8Y9cdXh4hVIb2vB1oE7Fg9vBl
fzwM+IWlwPj61w+Df2GKvvceT/0gfpyndPhi4vLSAfrabfq//oN3wPnjAD9gsy+tlj/9y69D/vQ6
9iuCK/7/f20f8e6bBVVdBg+1+tIh+MNv3zsGX97p7e/fPuLHN//pzd4/1/sPVwj0b8sHf3j5xfD2
oGfbhN7m/475r8ftr8jya0vcX0/zn//x88P+8NX//ehoEj/9OriIf99/Jj7Y/3XwZPuYle8DrR//
8z9AsNFdFJH13k8+aep614Nzbe099nQbb1u+kup9rB+endhg//HRLKs+fKVMDOHFJwye1iUeoNlO
qzWxk/d+i9lT/MdZVu6cf2Csvcefx3/MspLF8z7WD/PPZbT3+IvyqUp3Dc51v/fgy/gpTd/H+eHB
CU72HnvVJPdZ/Fi/D/XX8ILZu/fw6yR/KoNt/D7UD8N/xpZdI2G7Y+jP2LHHT+WOORdF8r0n5ThI
vR0HgWBM7j32yTbacYaJNopPGLqqnnbNyWds0JOs+uO/U+8pfto1M5+xRU+3jxzA7/Pww0L8jC16
usW5YMfYn7FFxdhIU+14dEEa2vtrPX1KH7OHYNfpJTq/PmH88uHp8X2gv+Zd0Hz2Hzzj2d/H+WHs
z9imp9nOOfmMXcrQ9VP5NOx48s/YqWfbfNdq+Yx9evbUbj/GjjihfcYWPS+3HAE7JuUztuhFvH14
2hE7iqrN3uvwAjWtXcGdYKzsPfhlQOhYBY87Zkb0IO09/tX2oSQlSOsdd6korH/CG6R/TJ5wdtn1
Bp+xVa+24g3KdFs+7jzIhNDFp3yKWfDk7foQn7FrxYdYsAMeguph13t8xvYV77HJtkWz67YSdNxP
maWTJqj+OL8PqnzX5/iMzSw+x+m2fto1/mfsZ8avt39MtuX9dlfMIGqJnzFTvMc03v0On7OxxaeY
ls34/rh/XZH6p2zsv7PfFlDLsEeyf/V3JoP7D15FuAw1OybmU/ZyFm93RQ+i8LP/wiEwSXZc8KJu
sf/g9RbPtXjb7IjD9U/ZugJm2XEPC6x976f/+uRvd02NEL7af/C/dSfbd0V+bTgJdlzxAnne/9H/
XtR+32f/xgM2uw5KUU/c++HvMOF9H+avA0yA0fsP3dzv2EiiQ+l/GXoXLPtd8e0jWPsubLjrz37G
osW/eIiftuV//Q8AAAD//w==</cx:binary>
              </cx:geoCache>
            </cx:geography>
          </cx:layoutPr>
          <cx:valueColors>
            <cx:minColor>
              <a:schemeClr val="accent5">
                <a:lumMod val="20000"/>
                <a:lumOff val="80000"/>
              </a:schemeClr>
            </cx:minColor>
            <cx:maxColor>
              <a:schemeClr val="accent5">
                <a:lumMod val="75000"/>
              </a:schemeClr>
            </cx:maxColor>
          </cx:valueColors>
        </cx:series>
      </cx:plotAreaRegion>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4.xml"/><Relationship Id="rId9"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27214</xdr:colOff>
      <xdr:row>0</xdr:row>
      <xdr:rowOff>0</xdr:rowOff>
    </xdr:from>
    <xdr:to>
      <xdr:col>26</xdr:col>
      <xdr:colOff>27213</xdr:colOff>
      <xdr:row>43</xdr:row>
      <xdr:rowOff>177800</xdr:rowOff>
    </xdr:to>
    <xdr:sp macro="" textlink="">
      <xdr:nvSpPr>
        <xdr:cNvPr id="3" name="Rectangle 2">
          <a:extLst>
            <a:ext uri="{FF2B5EF4-FFF2-40B4-BE49-F238E27FC236}">
              <a16:creationId xmlns:a16="http://schemas.microsoft.com/office/drawing/2014/main" id="{DC6B1D56-4884-293D-B870-9A5B1FF29C45}"/>
            </a:ext>
          </a:extLst>
        </xdr:cNvPr>
        <xdr:cNvSpPr/>
      </xdr:nvSpPr>
      <xdr:spPr>
        <a:xfrm>
          <a:off x="27214" y="0"/>
          <a:ext cx="15793356" cy="7979229"/>
        </a:xfrm>
        <a:prstGeom prst="rect">
          <a:avLst/>
        </a:prstGeom>
        <a:solidFill>
          <a:srgbClr val="EBFC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xdr:col>
      <xdr:colOff>0</xdr:colOff>
      <xdr:row>42</xdr:row>
      <xdr:rowOff>177800</xdr:rowOff>
    </xdr:to>
    <xdr:sp macro="" textlink="">
      <xdr:nvSpPr>
        <xdr:cNvPr id="2" name="Rectangle 1">
          <a:extLst>
            <a:ext uri="{FF2B5EF4-FFF2-40B4-BE49-F238E27FC236}">
              <a16:creationId xmlns:a16="http://schemas.microsoft.com/office/drawing/2014/main" id="{0A32CF17-A77F-436C-2038-9B417898C2DE}"/>
            </a:ext>
          </a:extLst>
        </xdr:cNvPr>
        <xdr:cNvSpPr/>
      </xdr:nvSpPr>
      <xdr:spPr>
        <a:xfrm>
          <a:off x="0" y="0"/>
          <a:ext cx="1814286" cy="7797800"/>
        </a:xfrm>
        <a:prstGeom prst="rect">
          <a:avLst/>
        </a:prstGeom>
        <a:solidFill>
          <a:srgbClr val="B0F999"/>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glow rad="63500">
                <a:schemeClr val="accent4">
                  <a:satMod val="175000"/>
                  <a:alpha val="40000"/>
                </a:schemeClr>
              </a:glow>
            </a:effectLst>
          </a:endParaRPr>
        </a:p>
      </xdr:txBody>
    </xdr:sp>
    <xdr:clientData/>
  </xdr:twoCellAnchor>
  <xdr:twoCellAnchor>
    <xdr:from>
      <xdr:col>0</xdr:col>
      <xdr:colOff>0</xdr:colOff>
      <xdr:row>1</xdr:row>
      <xdr:rowOff>21603</xdr:rowOff>
    </xdr:from>
    <xdr:to>
      <xdr:col>1</xdr:col>
      <xdr:colOff>738414</xdr:colOff>
      <xdr:row>3</xdr:row>
      <xdr:rowOff>34303</xdr:rowOff>
    </xdr:to>
    <xdr:sp macro="" textlink="KPI_Calculations!H4">
      <xdr:nvSpPr>
        <xdr:cNvPr id="4" name="TextBox 3">
          <a:extLst>
            <a:ext uri="{FF2B5EF4-FFF2-40B4-BE49-F238E27FC236}">
              <a16:creationId xmlns:a16="http://schemas.microsoft.com/office/drawing/2014/main" id="{56314622-2488-DA15-DD86-D5C750046646}"/>
            </a:ext>
          </a:extLst>
        </xdr:cNvPr>
        <xdr:cNvSpPr txBox="1"/>
      </xdr:nvSpPr>
      <xdr:spPr>
        <a:xfrm>
          <a:off x="0" y="203032"/>
          <a:ext cx="965200" cy="375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9BEC33-4440-4E2E-B64E-7516EB5A6648}" type="TxLink">
            <a:rPr lang="en-US" sz="1800" b="1" i="0" u="none" strike="noStrike">
              <a:gradFill flip="none" rotWithShape="1">
                <a:gsLst>
                  <a:gs pos="0">
                    <a:schemeClr val="accent1">
                      <a:lumMod val="5000"/>
                      <a:lumOff val="95000"/>
                    </a:schemeClr>
                  </a:gs>
                  <a:gs pos="72000">
                    <a:srgbClr val="5686AD"/>
                  </a:gs>
                  <a:gs pos="20000">
                    <a:schemeClr val="accent1">
                      <a:lumMod val="45000"/>
                      <a:lumOff val="55000"/>
                    </a:schemeClr>
                  </a:gs>
                  <a:gs pos="72000">
                    <a:schemeClr val="tx2">
                      <a:lumMod val="75000"/>
                      <a:lumOff val="25000"/>
                    </a:schemeClr>
                  </a:gs>
                  <a:gs pos="100000">
                    <a:schemeClr val="accent1">
                      <a:lumMod val="30000"/>
                      <a:lumOff val="70000"/>
                    </a:schemeClr>
                  </a:gs>
                </a:gsLst>
                <a:lin ang="5400000" scaled="0"/>
                <a:tileRect/>
              </a:gradFill>
              <a:effectLst/>
              <a:latin typeface="+mn-lt"/>
            </a:rPr>
            <a:pPr/>
            <a:t>2,400</a:t>
          </a:fld>
          <a:endParaRPr lang="en-IN" sz="1800" b="1">
            <a:gradFill flip="none" rotWithShape="1">
              <a:gsLst>
                <a:gs pos="0">
                  <a:schemeClr val="accent1">
                    <a:lumMod val="5000"/>
                    <a:lumOff val="95000"/>
                  </a:schemeClr>
                </a:gs>
                <a:gs pos="72000">
                  <a:srgbClr val="5686AD"/>
                </a:gs>
                <a:gs pos="20000">
                  <a:schemeClr val="accent1">
                    <a:lumMod val="45000"/>
                    <a:lumOff val="55000"/>
                  </a:schemeClr>
                </a:gs>
                <a:gs pos="72000">
                  <a:schemeClr val="tx2">
                    <a:lumMod val="75000"/>
                    <a:lumOff val="25000"/>
                  </a:schemeClr>
                </a:gs>
                <a:gs pos="100000">
                  <a:schemeClr val="accent1">
                    <a:lumMod val="30000"/>
                    <a:lumOff val="70000"/>
                  </a:schemeClr>
                </a:gs>
              </a:gsLst>
              <a:lin ang="5400000" scaled="0"/>
              <a:tileRect/>
            </a:gradFill>
            <a:effectLst/>
            <a:latin typeface="+mn-lt"/>
          </a:endParaRPr>
        </a:p>
      </xdr:txBody>
    </xdr:sp>
    <xdr:clientData/>
  </xdr:twoCellAnchor>
  <xdr:twoCellAnchor>
    <xdr:from>
      <xdr:col>0</xdr:col>
      <xdr:colOff>0</xdr:colOff>
      <xdr:row>3</xdr:row>
      <xdr:rowOff>151090</xdr:rowOff>
    </xdr:from>
    <xdr:to>
      <xdr:col>1</xdr:col>
      <xdr:colOff>738414</xdr:colOff>
      <xdr:row>5</xdr:row>
      <xdr:rowOff>163790</xdr:rowOff>
    </xdr:to>
    <xdr:sp macro="" textlink="KPI_Calculations!I4">
      <xdr:nvSpPr>
        <xdr:cNvPr id="6" name="TextBox 5">
          <a:extLst>
            <a:ext uri="{FF2B5EF4-FFF2-40B4-BE49-F238E27FC236}">
              <a16:creationId xmlns:a16="http://schemas.microsoft.com/office/drawing/2014/main" id="{20B05866-97B2-40B2-93E5-B0164E05EB6F}"/>
            </a:ext>
          </a:extLst>
        </xdr:cNvPr>
        <xdr:cNvSpPr txBox="1"/>
      </xdr:nvSpPr>
      <xdr:spPr>
        <a:xfrm>
          <a:off x="0" y="695376"/>
          <a:ext cx="965200" cy="375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0ABDE7-9CB3-4F61-810B-56DF54F26756}" type="TxLink">
            <a:rPr lang="en-US" sz="1800" b="1" i="0" u="none" strike="noStrike">
              <a:gradFill flip="none" rotWithShape="1">
                <a:gsLst>
                  <a:gs pos="0">
                    <a:schemeClr val="accent1">
                      <a:lumMod val="5000"/>
                      <a:lumOff val="95000"/>
                    </a:schemeClr>
                  </a:gs>
                  <a:gs pos="72000">
                    <a:srgbClr val="5686AD"/>
                  </a:gs>
                  <a:gs pos="20000">
                    <a:schemeClr val="accent1">
                      <a:lumMod val="45000"/>
                      <a:lumOff val="55000"/>
                    </a:schemeClr>
                  </a:gs>
                  <a:gs pos="72000">
                    <a:schemeClr val="tx2">
                      <a:lumMod val="75000"/>
                      <a:lumOff val="25000"/>
                    </a:schemeClr>
                  </a:gs>
                  <a:gs pos="100000">
                    <a:schemeClr val="accent1">
                      <a:lumMod val="30000"/>
                      <a:lumOff val="70000"/>
                    </a:schemeClr>
                  </a:gs>
                </a:gsLst>
                <a:lin ang="5400000" scaled="0"/>
                <a:tileRect/>
              </a:gradFill>
              <a:effectLst/>
              <a:latin typeface="+mn-lt"/>
            </a:rPr>
            <a:pPr/>
            <a:t>11,997</a:t>
          </a:fld>
          <a:endParaRPr lang="en-IN" sz="1800" b="1" i="0" u="none" strike="noStrike">
            <a:gradFill flip="none" rotWithShape="1">
              <a:gsLst>
                <a:gs pos="0">
                  <a:schemeClr val="accent1">
                    <a:lumMod val="5000"/>
                    <a:lumOff val="95000"/>
                  </a:schemeClr>
                </a:gs>
                <a:gs pos="72000">
                  <a:srgbClr val="5686AD"/>
                </a:gs>
                <a:gs pos="20000">
                  <a:schemeClr val="accent1">
                    <a:lumMod val="45000"/>
                    <a:lumOff val="55000"/>
                  </a:schemeClr>
                </a:gs>
                <a:gs pos="72000">
                  <a:schemeClr val="tx2">
                    <a:lumMod val="75000"/>
                    <a:lumOff val="25000"/>
                  </a:schemeClr>
                </a:gs>
                <a:gs pos="100000">
                  <a:schemeClr val="accent1">
                    <a:lumMod val="30000"/>
                    <a:lumOff val="70000"/>
                  </a:schemeClr>
                </a:gs>
              </a:gsLst>
              <a:lin ang="5400000" scaled="0"/>
              <a:tileRect/>
            </a:gradFill>
            <a:effectLst/>
            <a:latin typeface="+mn-lt"/>
          </a:endParaRPr>
        </a:p>
      </xdr:txBody>
    </xdr:sp>
    <xdr:clientData/>
  </xdr:twoCellAnchor>
  <xdr:twoCellAnchor>
    <xdr:from>
      <xdr:col>0</xdr:col>
      <xdr:colOff>0</xdr:colOff>
      <xdr:row>6</xdr:row>
      <xdr:rowOff>53892</xdr:rowOff>
    </xdr:from>
    <xdr:to>
      <xdr:col>1</xdr:col>
      <xdr:colOff>738414</xdr:colOff>
      <xdr:row>8</xdr:row>
      <xdr:rowOff>66591</xdr:rowOff>
    </xdr:to>
    <xdr:sp macro="" textlink="KPI_Calculations!J4">
      <xdr:nvSpPr>
        <xdr:cNvPr id="7" name="TextBox 6">
          <a:extLst>
            <a:ext uri="{FF2B5EF4-FFF2-40B4-BE49-F238E27FC236}">
              <a16:creationId xmlns:a16="http://schemas.microsoft.com/office/drawing/2014/main" id="{BB5E57E8-8D66-4911-BB4D-A4D0587AF2D2}"/>
            </a:ext>
          </a:extLst>
        </xdr:cNvPr>
        <xdr:cNvSpPr txBox="1"/>
      </xdr:nvSpPr>
      <xdr:spPr>
        <a:xfrm>
          <a:off x="0" y="1142463"/>
          <a:ext cx="965200" cy="375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51AFF42-CC4D-47DA-8ECE-CEB92EA0B451}" type="TxLink">
            <a:rPr lang="en-US" sz="1800" b="1" i="0" u="none" strike="noStrike">
              <a:gradFill flip="none" rotWithShape="1">
                <a:gsLst>
                  <a:gs pos="0">
                    <a:schemeClr val="accent1">
                      <a:lumMod val="5000"/>
                      <a:lumOff val="95000"/>
                    </a:schemeClr>
                  </a:gs>
                  <a:gs pos="72000">
                    <a:srgbClr val="5686AD"/>
                  </a:gs>
                  <a:gs pos="20000">
                    <a:schemeClr val="accent1">
                      <a:lumMod val="45000"/>
                      <a:lumOff val="55000"/>
                    </a:schemeClr>
                  </a:gs>
                  <a:gs pos="72000">
                    <a:schemeClr val="tx2">
                      <a:lumMod val="75000"/>
                      <a:lumOff val="25000"/>
                    </a:schemeClr>
                  </a:gs>
                  <a:gs pos="100000">
                    <a:schemeClr val="accent1">
                      <a:lumMod val="30000"/>
                      <a:lumOff val="70000"/>
                    </a:schemeClr>
                  </a:gs>
                </a:gsLst>
                <a:lin ang="5400000" scaled="0"/>
                <a:tileRect/>
              </a:gradFill>
              <a:effectLst/>
              <a:latin typeface="+mn-lt"/>
              <a:ea typeface="+mn-ea"/>
              <a:cs typeface="+mn-cs"/>
            </a:rPr>
            <a:pPr marL="0" indent="0"/>
            <a:t>$649.0k</a:t>
          </a:fld>
          <a:endParaRPr lang="en-IN" sz="1800" b="1" i="0" u="none" strike="noStrike">
            <a:gradFill flip="none" rotWithShape="1">
              <a:gsLst>
                <a:gs pos="0">
                  <a:schemeClr val="accent1">
                    <a:lumMod val="5000"/>
                    <a:lumOff val="95000"/>
                  </a:schemeClr>
                </a:gs>
                <a:gs pos="72000">
                  <a:srgbClr val="5686AD"/>
                </a:gs>
                <a:gs pos="20000">
                  <a:schemeClr val="accent1">
                    <a:lumMod val="45000"/>
                    <a:lumOff val="55000"/>
                  </a:schemeClr>
                </a:gs>
                <a:gs pos="72000">
                  <a:schemeClr val="tx2">
                    <a:lumMod val="75000"/>
                    <a:lumOff val="25000"/>
                  </a:schemeClr>
                </a:gs>
                <a:gs pos="100000">
                  <a:schemeClr val="accent1">
                    <a:lumMod val="30000"/>
                    <a:lumOff val="70000"/>
                  </a:schemeClr>
                </a:gs>
              </a:gsLst>
              <a:lin ang="5400000" scaled="0"/>
              <a:tileRect/>
            </a:gradFill>
            <a:effectLst/>
            <a:latin typeface="+mn-lt"/>
            <a:ea typeface="+mn-ea"/>
            <a:cs typeface="+mn-cs"/>
          </a:endParaRPr>
        </a:p>
      </xdr:txBody>
    </xdr:sp>
    <xdr:clientData/>
  </xdr:twoCellAnchor>
  <xdr:twoCellAnchor>
    <xdr:from>
      <xdr:col>0</xdr:col>
      <xdr:colOff>0</xdr:colOff>
      <xdr:row>8</xdr:row>
      <xdr:rowOff>147294</xdr:rowOff>
    </xdr:from>
    <xdr:to>
      <xdr:col>1</xdr:col>
      <xdr:colOff>738414</xdr:colOff>
      <xdr:row>10</xdr:row>
      <xdr:rowOff>159994</xdr:rowOff>
    </xdr:to>
    <xdr:sp macro="" textlink="KPI_Calculations!K4">
      <xdr:nvSpPr>
        <xdr:cNvPr id="8" name="TextBox 7">
          <a:extLst>
            <a:ext uri="{FF2B5EF4-FFF2-40B4-BE49-F238E27FC236}">
              <a16:creationId xmlns:a16="http://schemas.microsoft.com/office/drawing/2014/main" id="{86D73E3B-B4AF-4CF6-A8AA-8A013BB43F10}"/>
            </a:ext>
          </a:extLst>
        </xdr:cNvPr>
        <xdr:cNvSpPr txBox="1"/>
      </xdr:nvSpPr>
      <xdr:spPr>
        <a:xfrm>
          <a:off x="0" y="1598723"/>
          <a:ext cx="965200" cy="375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5E18305-BC29-43A9-A0B1-DE892E1DBA95}" type="TxLink">
            <a:rPr lang="en-US" sz="1800" b="1" i="0" u="none" strike="noStrike">
              <a:gradFill flip="none" rotWithShape="1">
                <a:gsLst>
                  <a:gs pos="0">
                    <a:schemeClr val="accent1">
                      <a:lumMod val="5000"/>
                      <a:lumOff val="95000"/>
                    </a:schemeClr>
                  </a:gs>
                  <a:gs pos="72000">
                    <a:srgbClr val="5686AD"/>
                  </a:gs>
                  <a:gs pos="20000">
                    <a:schemeClr val="accent1">
                      <a:lumMod val="45000"/>
                      <a:lumOff val="55000"/>
                    </a:schemeClr>
                  </a:gs>
                  <a:gs pos="72000">
                    <a:schemeClr val="tx2">
                      <a:lumMod val="75000"/>
                      <a:lumOff val="25000"/>
                    </a:schemeClr>
                  </a:gs>
                  <a:gs pos="100000">
                    <a:schemeClr val="accent1">
                      <a:lumMod val="30000"/>
                      <a:lumOff val="70000"/>
                    </a:schemeClr>
                  </a:gs>
                </a:gsLst>
                <a:lin ang="5400000" scaled="0"/>
                <a:tileRect/>
              </a:gradFill>
              <a:effectLst/>
              <a:latin typeface="+mn-lt"/>
              <a:ea typeface="+mn-ea"/>
              <a:cs typeface="+mn-cs"/>
            </a:rPr>
            <a:pPr marL="0" indent="0"/>
            <a:t>4.0</a:t>
          </a:fld>
          <a:endParaRPr lang="en-IN" sz="1800" b="1" i="0" u="none" strike="noStrike">
            <a:gradFill flip="none" rotWithShape="1">
              <a:gsLst>
                <a:gs pos="0">
                  <a:schemeClr val="accent1">
                    <a:lumMod val="5000"/>
                    <a:lumOff val="95000"/>
                  </a:schemeClr>
                </a:gs>
                <a:gs pos="72000">
                  <a:srgbClr val="5686AD"/>
                </a:gs>
                <a:gs pos="20000">
                  <a:schemeClr val="accent1">
                    <a:lumMod val="45000"/>
                    <a:lumOff val="55000"/>
                  </a:schemeClr>
                </a:gs>
                <a:gs pos="72000">
                  <a:schemeClr val="tx2">
                    <a:lumMod val="75000"/>
                    <a:lumOff val="25000"/>
                  </a:schemeClr>
                </a:gs>
                <a:gs pos="100000">
                  <a:schemeClr val="accent1">
                    <a:lumMod val="30000"/>
                    <a:lumOff val="70000"/>
                  </a:schemeClr>
                </a:gs>
              </a:gsLst>
              <a:lin ang="5400000" scaled="0"/>
              <a:tileRect/>
            </a:gradFill>
            <a:effectLst/>
            <a:latin typeface="+mn-lt"/>
            <a:ea typeface="+mn-ea"/>
            <a:cs typeface="+mn-cs"/>
          </a:endParaRPr>
        </a:p>
      </xdr:txBody>
    </xdr:sp>
    <xdr:clientData/>
  </xdr:twoCellAnchor>
  <xdr:twoCellAnchor>
    <xdr:from>
      <xdr:col>0</xdr:col>
      <xdr:colOff>0</xdr:colOff>
      <xdr:row>0</xdr:row>
      <xdr:rowOff>45357</xdr:rowOff>
    </xdr:from>
    <xdr:to>
      <xdr:col>1</xdr:col>
      <xdr:colOff>1115785</xdr:colOff>
      <xdr:row>1</xdr:row>
      <xdr:rowOff>99785</xdr:rowOff>
    </xdr:to>
    <xdr:sp macro="" textlink="">
      <xdr:nvSpPr>
        <xdr:cNvPr id="14" name="TextBox 13">
          <a:extLst>
            <a:ext uri="{FF2B5EF4-FFF2-40B4-BE49-F238E27FC236}">
              <a16:creationId xmlns:a16="http://schemas.microsoft.com/office/drawing/2014/main" id="{30D7423C-F617-AFAF-F474-192B7E850133}"/>
            </a:ext>
          </a:extLst>
        </xdr:cNvPr>
        <xdr:cNvSpPr txBox="1"/>
      </xdr:nvSpPr>
      <xdr:spPr>
        <a:xfrm>
          <a:off x="0" y="45357"/>
          <a:ext cx="1342571" cy="23585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tx2"/>
              </a:solidFill>
            </a:rPr>
            <a:t>🛒Orders</a:t>
          </a:r>
        </a:p>
        <a:p>
          <a:endParaRPr lang="en-IN" sz="1100" b="1">
            <a:solidFill>
              <a:schemeClr val="tx2"/>
            </a:solidFill>
          </a:endParaRPr>
        </a:p>
      </xdr:txBody>
    </xdr:sp>
    <xdr:clientData/>
  </xdr:twoCellAnchor>
  <xdr:twoCellAnchor>
    <xdr:from>
      <xdr:col>0</xdr:col>
      <xdr:colOff>0</xdr:colOff>
      <xdr:row>5</xdr:row>
      <xdr:rowOff>85608</xdr:rowOff>
    </xdr:from>
    <xdr:to>
      <xdr:col>1</xdr:col>
      <xdr:colOff>1115785</xdr:colOff>
      <xdr:row>6</xdr:row>
      <xdr:rowOff>132074</xdr:rowOff>
    </xdr:to>
    <xdr:sp macro="" textlink="">
      <xdr:nvSpPr>
        <xdr:cNvPr id="15" name="TextBox 14">
          <a:extLst>
            <a:ext uri="{FF2B5EF4-FFF2-40B4-BE49-F238E27FC236}">
              <a16:creationId xmlns:a16="http://schemas.microsoft.com/office/drawing/2014/main" id="{E0A46ED9-A63F-44FD-86F0-76498614E6DA}"/>
            </a:ext>
          </a:extLst>
        </xdr:cNvPr>
        <xdr:cNvSpPr txBox="1"/>
      </xdr:nvSpPr>
      <xdr:spPr>
        <a:xfrm>
          <a:off x="0" y="992751"/>
          <a:ext cx="1342571" cy="227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tx2"/>
              </a:solidFill>
              <a:latin typeface="+mn-lt"/>
              <a:ea typeface="+mn-ea"/>
              <a:cs typeface="+mn-cs"/>
            </a:rPr>
            <a:t>💰</a:t>
          </a:r>
          <a:r>
            <a:rPr lang="en-GB" sz="1100" b="1" i="0" u="none" strike="noStrike">
              <a:solidFill>
                <a:schemeClr val="tx2"/>
              </a:solidFill>
              <a:effectLst/>
              <a:latin typeface="+mn-lt"/>
            </a:rPr>
            <a:t>Amount</a:t>
          </a:r>
          <a:endParaRPr lang="en-US" sz="1100" b="1" i="0" u="none" strike="noStrike">
            <a:solidFill>
              <a:schemeClr val="tx2"/>
            </a:solidFill>
            <a:effectLst/>
            <a:latin typeface="+mn-lt"/>
          </a:endParaRPr>
        </a:p>
      </xdr:txBody>
    </xdr:sp>
    <xdr:clientData/>
  </xdr:twoCellAnchor>
  <xdr:twoCellAnchor>
    <xdr:from>
      <xdr:col>0</xdr:col>
      <xdr:colOff>0</xdr:colOff>
      <xdr:row>2</xdr:row>
      <xdr:rowOff>137550</xdr:rowOff>
    </xdr:from>
    <xdr:to>
      <xdr:col>1</xdr:col>
      <xdr:colOff>1115785</xdr:colOff>
      <xdr:row>4</xdr:row>
      <xdr:rowOff>47844</xdr:rowOff>
    </xdr:to>
    <xdr:sp macro="" textlink="">
      <xdr:nvSpPr>
        <xdr:cNvPr id="16" name="TextBox 15">
          <a:extLst>
            <a:ext uri="{FF2B5EF4-FFF2-40B4-BE49-F238E27FC236}">
              <a16:creationId xmlns:a16="http://schemas.microsoft.com/office/drawing/2014/main" id="{D7460384-2A82-4371-82F6-F67E45E2C93F}"/>
            </a:ext>
          </a:extLst>
        </xdr:cNvPr>
        <xdr:cNvSpPr txBox="1"/>
      </xdr:nvSpPr>
      <xdr:spPr>
        <a:xfrm>
          <a:off x="0" y="500407"/>
          <a:ext cx="1342571" cy="273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none" strike="noStrike">
              <a:solidFill>
                <a:schemeClr val="bg1"/>
              </a:solidFill>
              <a:effectLst/>
              <a:latin typeface="+mn-lt"/>
            </a:rPr>
            <a:t>👚</a:t>
          </a:r>
          <a:r>
            <a:rPr lang="en-GB" sz="1100" b="1" i="0" u="none" strike="noStrike">
              <a:solidFill>
                <a:schemeClr val="tx2"/>
              </a:solidFill>
              <a:effectLst/>
              <a:latin typeface="+mn-lt"/>
            </a:rPr>
            <a:t>Quantity</a:t>
          </a:r>
          <a:endParaRPr lang="en-US" sz="1100" b="1" i="0" u="none" strike="noStrike">
            <a:solidFill>
              <a:schemeClr val="tx2"/>
            </a:solidFill>
            <a:effectLst/>
            <a:latin typeface="+mn-lt"/>
          </a:endParaRPr>
        </a:p>
      </xdr:txBody>
    </xdr:sp>
    <xdr:clientData/>
  </xdr:twoCellAnchor>
  <xdr:twoCellAnchor>
    <xdr:from>
      <xdr:col>0</xdr:col>
      <xdr:colOff>0</xdr:colOff>
      <xdr:row>10</xdr:row>
      <xdr:rowOff>81812</xdr:rowOff>
    </xdr:from>
    <xdr:to>
      <xdr:col>1</xdr:col>
      <xdr:colOff>1115785</xdr:colOff>
      <xdr:row>12</xdr:row>
      <xdr:rowOff>69112</xdr:rowOff>
    </xdr:to>
    <xdr:sp macro="" textlink="">
      <xdr:nvSpPr>
        <xdr:cNvPr id="17" name="TextBox 16">
          <a:extLst>
            <a:ext uri="{FF2B5EF4-FFF2-40B4-BE49-F238E27FC236}">
              <a16:creationId xmlns:a16="http://schemas.microsoft.com/office/drawing/2014/main" id="{DFC1489B-99D0-4BDA-AEC6-0A92D4B83716}"/>
            </a:ext>
          </a:extLst>
        </xdr:cNvPr>
        <xdr:cNvSpPr txBox="1"/>
      </xdr:nvSpPr>
      <xdr:spPr>
        <a:xfrm>
          <a:off x="0" y="1896098"/>
          <a:ext cx="1342571" cy="350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none" strike="noStrike">
              <a:solidFill>
                <a:schemeClr val="tx2"/>
              </a:solidFill>
              <a:effectLst/>
              <a:latin typeface="+mn-lt"/>
            </a:rPr>
            <a:t>📆Days to Deliver</a:t>
          </a:r>
          <a:endParaRPr lang="en-US" sz="1100" b="1" i="0" u="none" strike="noStrike">
            <a:solidFill>
              <a:schemeClr val="tx2"/>
            </a:solidFill>
            <a:effectLst/>
            <a:latin typeface="+mn-lt"/>
          </a:endParaRPr>
        </a:p>
      </xdr:txBody>
    </xdr:sp>
    <xdr:clientData/>
  </xdr:twoCellAnchor>
  <xdr:twoCellAnchor>
    <xdr:from>
      <xdr:col>0</xdr:col>
      <xdr:colOff>0</xdr:colOff>
      <xdr:row>11</xdr:row>
      <xdr:rowOff>172357</xdr:rowOff>
    </xdr:from>
    <xdr:to>
      <xdr:col>1</xdr:col>
      <xdr:colOff>738414</xdr:colOff>
      <xdr:row>14</xdr:row>
      <xdr:rowOff>3628</xdr:rowOff>
    </xdr:to>
    <xdr:sp macro="" textlink="KPI_Calculations!L4">
      <xdr:nvSpPr>
        <xdr:cNvPr id="18" name="TextBox 17">
          <a:extLst>
            <a:ext uri="{FF2B5EF4-FFF2-40B4-BE49-F238E27FC236}">
              <a16:creationId xmlns:a16="http://schemas.microsoft.com/office/drawing/2014/main" id="{700B4BE5-AEA0-49C1-A7BE-4B765AE9B67D}"/>
            </a:ext>
          </a:extLst>
        </xdr:cNvPr>
        <xdr:cNvSpPr txBox="1"/>
      </xdr:nvSpPr>
      <xdr:spPr>
        <a:xfrm>
          <a:off x="0" y="2168071"/>
          <a:ext cx="965200" cy="375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2095E11-ECEE-40B2-8933-B686F1239117}" type="TxLink">
            <a:rPr lang="en-US" sz="1800" b="1" i="0" u="none" strike="noStrike">
              <a:gradFill flip="none" rotWithShape="1">
                <a:gsLst>
                  <a:gs pos="0">
                    <a:schemeClr val="accent1">
                      <a:lumMod val="5000"/>
                      <a:lumOff val="95000"/>
                    </a:schemeClr>
                  </a:gs>
                  <a:gs pos="72000">
                    <a:srgbClr val="5686AD"/>
                  </a:gs>
                  <a:gs pos="20000">
                    <a:schemeClr val="accent1">
                      <a:lumMod val="45000"/>
                      <a:lumOff val="55000"/>
                    </a:schemeClr>
                  </a:gs>
                  <a:gs pos="72000">
                    <a:schemeClr val="tx2">
                      <a:lumMod val="75000"/>
                      <a:lumOff val="25000"/>
                    </a:schemeClr>
                  </a:gs>
                  <a:gs pos="100000">
                    <a:schemeClr val="accent1">
                      <a:lumMod val="30000"/>
                      <a:lumOff val="70000"/>
                    </a:schemeClr>
                  </a:gs>
                </a:gsLst>
                <a:lin ang="5400000" scaled="0"/>
                <a:tileRect/>
              </a:gradFill>
              <a:effectLst/>
              <a:latin typeface="+mn-lt"/>
              <a:ea typeface="+mn-ea"/>
              <a:cs typeface="+mn-cs"/>
            </a:rPr>
            <a:pPr marL="0" indent="0"/>
            <a:t>2.3</a:t>
          </a:fld>
          <a:endParaRPr lang="en-IN" sz="1800" b="1" i="0" u="none" strike="noStrike">
            <a:gradFill flip="none" rotWithShape="1">
              <a:gsLst>
                <a:gs pos="0">
                  <a:schemeClr val="accent1">
                    <a:lumMod val="5000"/>
                    <a:lumOff val="95000"/>
                  </a:schemeClr>
                </a:gs>
                <a:gs pos="72000">
                  <a:srgbClr val="5686AD"/>
                </a:gs>
                <a:gs pos="20000">
                  <a:schemeClr val="accent1">
                    <a:lumMod val="45000"/>
                    <a:lumOff val="55000"/>
                  </a:schemeClr>
                </a:gs>
                <a:gs pos="72000">
                  <a:schemeClr val="tx2">
                    <a:lumMod val="75000"/>
                    <a:lumOff val="25000"/>
                  </a:schemeClr>
                </a:gs>
                <a:gs pos="100000">
                  <a:schemeClr val="accent1">
                    <a:lumMod val="30000"/>
                    <a:lumOff val="70000"/>
                  </a:schemeClr>
                </a:gs>
              </a:gsLst>
              <a:lin ang="5400000" scaled="0"/>
              <a:tileRect/>
            </a:gradFill>
            <a:effectLst/>
            <a:latin typeface="+mn-lt"/>
            <a:ea typeface="+mn-ea"/>
            <a:cs typeface="+mn-cs"/>
          </a:endParaRPr>
        </a:p>
      </xdr:txBody>
    </xdr:sp>
    <xdr:clientData/>
  </xdr:twoCellAnchor>
  <xdr:twoCellAnchor>
    <xdr:from>
      <xdr:col>0</xdr:col>
      <xdr:colOff>0</xdr:colOff>
      <xdr:row>7</xdr:row>
      <xdr:rowOff>169838</xdr:rowOff>
    </xdr:from>
    <xdr:to>
      <xdr:col>1</xdr:col>
      <xdr:colOff>1115785</xdr:colOff>
      <xdr:row>9</xdr:row>
      <xdr:rowOff>44048</xdr:rowOff>
    </xdr:to>
    <xdr:sp macro="" textlink="">
      <xdr:nvSpPr>
        <xdr:cNvPr id="23" name="TextBox 22">
          <a:extLst>
            <a:ext uri="{FF2B5EF4-FFF2-40B4-BE49-F238E27FC236}">
              <a16:creationId xmlns:a16="http://schemas.microsoft.com/office/drawing/2014/main" id="{A37B9B3E-2704-1F1E-DFFA-670D21C8749A}"/>
            </a:ext>
          </a:extLst>
        </xdr:cNvPr>
        <xdr:cNvSpPr txBox="1"/>
      </xdr:nvSpPr>
      <xdr:spPr>
        <a:xfrm>
          <a:off x="0" y="1439838"/>
          <a:ext cx="1342571" cy="237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a:t>
          </a:r>
          <a:r>
            <a:rPr lang="en-GB" sz="1100" b="1"/>
            <a:t>Rating</a:t>
          </a:r>
        </a:p>
        <a:p>
          <a:endParaRPr lang="en-IN" sz="1100"/>
        </a:p>
      </xdr:txBody>
    </xdr:sp>
    <xdr:clientData/>
  </xdr:twoCellAnchor>
  <xdr:twoCellAnchor>
    <xdr:from>
      <xdr:col>18</xdr:col>
      <xdr:colOff>263072</xdr:colOff>
      <xdr:row>1</xdr:row>
      <xdr:rowOff>18142</xdr:rowOff>
    </xdr:from>
    <xdr:to>
      <xdr:col>25</xdr:col>
      <xdr:colOff>397002</xdr:colOff>
      <xdr:row>14</xdr:row>
      <xdr:rowOff>18143</xdr:rowOff>
    </xdr:to>
    <xdr:graphicFrame macro="">
      <xdr:nvGraphicFramePr>
        <xdr:cNvPr id="28" name="Chart 27">
          <a:extLst>
            <a:ext uri="{FF2B5EF4-FFF2-40B4-BE49-F238E27FC236}">
              <a16:creationId xmlns:a16="http://schemas.microsoft.com/office/drawing/2014/main" id="{A5F32389-EEA4-49EF-9618-80EB88591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308428</xdr:colOff>
      <xdr:row>0</xdr:row>
      <xdr:rowOff>172357</xdr:rowOff>
    </xdr:from>
    <xdr:to>
      <xdr:col>10</xdr:col>
      <xdr:colOff>462643</xdr:colOff>
      <xdr:row>14</xdr:row>
      <xdr:rowOff>18142</xdr:rowOff>
    </xdr:to>
    <xdr:graphicFrame macro="">
      <xdr:nvGraphicFramePr>
        <xdr:cNvPr id="29" name="Chart 28">
          <a:extLst>
            <a:ext uri="{FF2B5EF4-FFF2-40B4-BE49-F238E27FC236}">
              <a16:creationId xmlns:a16="http://schemas.microsoft.com/office/drawing/2014/main" id="{77BC5C54-ABF5-4E0E-ABF2-9D8D83D91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308428</xdr:colOff>
      <xdr:row>15</xdr:row>
      <xdr:rowOff>27215</xdr:rowOff>
    </xdr:from>
    <xdr:to>
      <xdr:col>10</xdr:col>
      <xdr:colOff>462642</xdr:colOff>
      <xdr:row>34</xdr:row>
      <xdr:rowOff>36288</xdr:rowOff>
    </xdr:to>
    <xdr:graphicFrame macro="">
      <xdr:nvGraphicFramePr>
        <xdr:cNvPr id="30" name="Chart 29">
          <a:extLst>
            <a:ext uri="{FF2B5EF4-FFF2-40B4-BE49-F238E27FC236}">
              <a16:creationId xmlns:a16="http://schemas.microsoft.com/office/drawing/2014/main" id="{2805C20F-C31C-415C-84CF-D91D3A6A8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317500</xdr:colOff>
      <xdr:row>26</xdr:row>
      <xdr:rowOff>0</xdr:rowOff>
    </xdr:from>
    <xdr:to>
      <xdr:col>8</xdr:col>
      <xdr:colOff>0</xdr:colOff>
      <xdr:row>33</xdr:row>
      <xdr:rowOff>0</xdr:rowOff>
    </xdr:to>
    <xdr:graphicFrame macro="">
      <xdr:nvGraphicFramePr>
        <xdr:cNvPr id="31" name="Chart 30">
          <a:extLst>
            <a:ext uri="{FF2B5EF4-FFF2-40B4-BE49-F238E27FC236}">
              <a16:creationId xmlns:a16="http://schemas.microsoft.com/office/drawing/2014/main" id="{3199DE66-8294-428E-978F-DD247C64B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81643</xdr:colOff>
      <xdr:row>15</xdr:row>
      <xdr:rowOff>27213</xdr:rowOff>
    </xdr:from>
    <xdr:to>
      <xdr:col>18</xdr:col>
      <xdr:colOff>0</xdr:colOff>
      <xdr:row>34</xdr:row>
      <xdr:rowOff>9071</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5F07D3FE-7F20-4027-834D-F774D1A264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768193" y="2789463"/>
              <a:ext cx="4185557" cy="34807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426357</xdr:colOff>
      <xdr:row>19</xdr:row>
      <xdr:rowOff>9072</xdr:rowOff>
    </xdr:from>
    <xdr:to>
      <xdr:col>17</xdr:col>
      <xdr:colOff>426357</xdr:colOff>
      <xdr:row>27</xdr:row>
      <xdr:rowOff>27215</xdr:rowOff>
    </xdr:to>
    <mc:AlternateContent xmlns:mc="http://schemas.openxmlformats.org/markup-compatibility/2006">
      <mc:Choice xmlns:cx4="http://schemas.microsoft.com/office/drawing/2016/5/10/chartex" Requires="cx4">
        <xdr:graphicFrame macro="">
          <xdr:nvGraphicFramePr>
            <xdr:cNvPr id="35" name="Chart 34">
              <a:extLst>
                <a:ext uri="{FF2B5EF4-FFF2-40B4-BE49-F238E27FC236}">
                  <a16:creationId xmlns:a16="http://schemas.microsoft.com/office/drawing/2014/main" id="{83253748-BCEA-4BBB-BBAB-8C9F93FF43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551307" y="3507922"/>
              <a:ext cx="1219200" cy="14913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244929</xdr:colOff>
      <xdr:row>15</xdr:row>
      <xdr:rowOff>23586</xdr:rowOff>
    </xdr:from>
    <xdr:to>
      <xdr:col>25</xdr:col>
      <xdr:colOff>399143</xdr:colOff>
      <xdr:row>25</xdr:row>
      <xdr:rowOff>0</xdr:rowOff>
    </xdr:to>
    <xdr:graphicFrame macro="">
      <xdr:nvGraphicFramePr>
        <xdr:cNvPr id="36" name="Chart 35">
          <a:extLst>
            <a:ext uri="{FF2B5EF4-FFF2-40B4-BE49-F238E27FC236}">
              <a16:creationId xmlns:a16="http://schemas.microsoft.com/office/drawing/2014/main" id="{FA691EFF-0F04-4D75-909D-679C88471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281214</xdr:colOff>
      <xdr:row>25</xdr:row>
      <xdr:rowOff>123371</xdr:rowOff>
    </xdr:from>
    <xdr:to>
      <xdr:col>25</xdr:col>
      <xdr:colOff>390072</xdr:colOff>
      <xdr:row>34</xdr:row>
      <xdr:rowOff>9072</xdr:rowOff>
    </xdr:to>
    <xdr:graphicFrame macro="">
      <xdr:nvGraphicFramePr>
        <xdr:cNvPr id="37" name="Chart 36">
          <a:extLst>
            <a:ext uri="{FF2B5EF4-FFF2-40B4-BE49-F238E27FC236}">
              <a16:creationId xmlns:a16="http://schemas.microsoft.com/office/drawing/2014/main" id="{4E50115C-5F1E-446F-A104-2CC39DD04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63500</xdr:colOff>
      <xdr:row>24</xdr:row>
      <xdr:rowOff>165556</xdr:rowOff>
    </xdr:from>
    <xdr:to>
      <xdr:col>2</xdr:col>
      <xdr:colOff>181429</xdr:colOff>
      <xdr:row>33</xdr:row>
      <xdr:rowOff>63500</xdr:rowOff>
    </xdr:to>
    <mc:AlternateContent xmlns:mc="http://schemas.openxmlformats.org/markup-compatibility/2006" xmlns:a14="http://schemas.microsoft.com/office/drawing/2010/main">
      <mc:Choice Requires="a14">
        <xdr:graphicFrame macro="">
          <xdr:nvGraphicFramePr>
            <xdr:cNvPr id="38" name="Gender Value">
              <a:extLst>
                <a:ext uri="{FF2B5EF4-FFF2-40B4-BE49-F238E27FC236}">
                  <a16:creationId xmlns:a16="http://schemas.microsoft.com/office/drawing/2014/main" id="{F5BA4C30-7B75-4621-883B-13A6A9FF117F}"/>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63500" y="4519842"/>
              <a:ext cx="1687286" cy="1530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36285</xdr:colOff>
      <xdr:row>14</xdr:row>
      <xdr:rowOff>11343</xdr:rowOff>
    </xdr:from>
    <xdr:to>
      <xdr:col>2</xdr:col>
      <xdr:colOff>208642</xdr:colOff>
      <xdr:row>24</xdr:row>
      <xdr:rowOff>0</xdr:rowOff>
    </xdr:to>
    <mc:AlternateContent xmlns:mc="http://schemas.openxmlformats.org/markup-compatibility/2006" xmlns:a14="http://schemas.microsoft.com/office/drawing/2010/main">
      <mc:Choice Requires="a14">
        <xdr:graphicFrame macro="">
          <xdr:nvGraphicFramePr>
            <xdr:cNvPr id="39" name="Order Mode">
              <a:extLst>
                <a:ext uri="{FF2B5EF4-FFF2-40B4-BE49-F238E27FC236}">
                  <a16:creationId xmlns:a16="http://schemas.microsoft.com/office/drawing/2014/main" id="{C83A76A9-3902-4FD4-8D51-2037DB1AD4B1}"/>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36285" y="2551343"/>
              <a:ext cx="1741714" cy="1802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81643</xdr:colOff>
      <xdr:row>1</xdr:row>
      <xdr:rowOff>0</xdr:rowOff>
    </xdr:from>
    <xdr:to>
      <xdr:col>18</xdr:col>
      <xdr:colOff>45357</xdr:colOff>
      <xdr:row>14</xdr:row>
      <xdr:rowOff>63500</xdr:rowOff>
    </xdr:to>
    <xdr:sp macro="" textlink="">
      <xdr:nvSpPr>
        <xdr:cNvPr id="41" name="Rectangle 40">
          <a:extLst>
            <a:ext uri="{FF2B5EF4-FFF2-40B4-BE49-F238E27FC236}">
              <a16:creationId xmlns:a16="http://schemas.microsoft.com/office/drawing/2014/main" id="{947E100E-9550-818F-BE59-56B58B6FF74A}"/>
            </a:ext>
          </a:extLst>
        </xdr:cNvPr>
        <xdr:cNvSpPr/>
      </xdr:nvSpPr>
      <xdr:spPr>
        <a:xfrm>
          <a:off x="6758214" y="181429"/>
          <a:ext cx="4218214" cy="24220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11</xdr:col>
          <xdr:colOff>589643</xdr:colOff>
          <xdr:row>2</xdr:row>
          <xdr:rowOff>135637</xdr:rowOff>
        </xdr:from>
        <xdr:to>
          <xdr:col>17</xdr:col>
          <xdr:colOff>498929</xdr:colOff>
          <xdr:row>13</xdr:row>
          <xdr:rowOff>154215</xdr:rowOff>
        </xdr:to>
        <xdr:pic>
          <xdr:nvPicPr>
            <xdr:cNvPr id="27" name="Picture 26">
              <a:extLst>
                <a:ext uri="{FF2B5EF4-FFF2-40B4-BE49-F238E27FC236}">
                  <a16:creationId xmlns:a16="http://schemas.microsoft.com/office/drawing/2014/main" id="{2425C515-7C63-F1BF-BBA7-1D57B2EB49DD}"/>
                </a:ext>
              </a:extLst>
            </xdr:cNvPr>
            <xdr:cNvPicPr>
              <a:picLocks noChangeAspect="1" noChangeArrowheads="1"/>
              <a:extLst>
                <a:ext uri="{84589F7E-364E-4C9E-8A38-B11213B215E9}">
                  <a14:cameraTool cellRange="Pivot_Heatmap_Order_Mode!$I$4:$M$9" spid="_x0000_s5152"/>
                </a:ext>
              </a:extLst>
            </xdr:cNvPicPr>
          </xdr:nvPicPr>
          <xdr:blipFill>
            <a:blip xmlns:r="http://schemas.openxmlformats.org/officeDocument/2006/relationships" r:embed="rId9">
              <a:lum contrast="-2000"/>
            </a:blip>
            <a:srcRect/>
            <a:stretch>
              <a:fillRect/>
            </a:stretch>
          </xdr:blipFill>
          <xdr:spPr bwMode="auto">
            <a:xfrm>
              <a:off x="7266214" y="498494"/>
              <a:ext cx="3556001" cy="2014292"/>
            </a:xfrm>
            <a:prstGeom prst="rect">
              <a:avLst/>
            </a:prstGeom>
            <a:solidFill>
              <a:schemeClr val="lt1"/>
            </a:solidFill>
          </xdr:spPr>
        </xdr:pic>
        <xdr:clientData/>
      </xdr:twoCellAnchor>
    </mc:Choice>
    <mc:Fallback/>
  </mc:AlternateContent>
  <xdr:twoCellAnchor>
    <xdr:from>
      <xdr:col>13</xdr:col>
      <xdr:colOff>290286</xdr:colOff>
      <xdr:row>1</xdr:row>
      <xdr:rowOff>18142</xdr:rowOff>
    </xdr:from>
    <xdr:to>
      <xdr:col>18</xdr:col>
      <xdr:colOff>290287</xdr:colOff>
      <xdr:row>3</xdr:row>
      <xdr:rowOff>18142</xdr:rowOff>
    </xdr:to>
    <xdr:sp macro="" textlink="">
      <xdr:nvSpPr>
        <xdr:cNvPr id="42" name="TextBox 41">
          <a:extLst>
            <a:ext uri="{FF2B5EF4-FFF2-40B4-BE49-F238E27FC236}">
              <a16:creationId xmlns:a16="http://schemas.microsoft.com/office/drawing/2014/main" id="{72DDFACE-A1F4-7589-663B-A836BA822143}"/>
            </a:ext>
          </a:extLst>
        </xdr:cNvPr>
        <xdr:cNvSpPr txBox="1"/>
      </xdr:nvSpPr>
      <xdr:spPr>
        <a:xfrm>
          <a:off x="8182429" y="199571"/>
          <a:ext cx="3038929" cy="362857"/>
        </a:xfrm>
        <a:prstGeom prst="rect">
          <a:avLst/>
        </a:prstGeom>
        <a:noFill/>
        <a:ln w="9525" cmpd="sng">
          <a:noFill/>
        </a:ln>
        <a:effectLst>
          <a:glow rad="25400">
            <a:schemeClr val="accent1">
              <a:alpha val="42000"/>
            </a:schemeClr>
          </a:glow>
          <a:reflection stA="45000" endPos="0" dist="50800" dir="5400000" sy="-100000" algn="bl" rotWithShape="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How they like to buy?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10.560177314816" createdVersion="8" refreshedVersion="8" minRefreshableVersion="3" recordCount="2400" xr:uid="{F413DD40-2963-4756-935A-D8C9523A086F}">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8942195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5BFE09-65CB-4199-9796-0FEBFBCEB83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709169-50DA-42D8-B3DD-ED7FAFF7576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B11"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10" x="5"/>
        <item n="More than 10 "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20" format="4"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33C507-6D92-440D-99A5-D97B64EA3DA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7" format="12" series="1">
      <pivotArea type="data" outline="0" fieldPosition="0">
        <references count="2">
          <reference field="4294967294" count="1" selected="0">
            <x v="0"/>
          </reference>
          <reference field="14" count="1" selected="0">
            <x v="0"/>
          </reference>
        </references>
      </pivotArea>
    </chartFormat>
    <chartFormat chart="7" format="13" series="1">
      <pivotArea type="data" outline="0" fieldPosition="0">
        <references count="2">
          <reference field="4294967294" count="1" selected="0">
            <x v="0"/>
          </reference>
          <reference field="14" count="1" selected="0">
            <x v="1"/>
          </reference>
        </references>
      </pivotArea>
    </chartFormat>
    <chartFormat chart="7" format="14" series="1">
      <pivotArea type="data" outline="0" fieldPosition="0">
        <references count="2">
          <reference field="4294967294" count="1" selected="0">
            <x v="0"/>
          </reference>
          <reference field="14" count="1" selected="0">
            <x v="2"/>
          </reference>
        </references>
      </pivotArea>
    </chartFormat>
    <chartFormat chart="7" format="15"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67457D-6CA7-405A-8B8F-ECDA792691B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J7:K12"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3">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 chart="3" format="6" series="1">
      <pivotArea type="data" outline="0" fieldPosition="0">
        <references count="2">
          <reference field="4294967294" count="1" selected="0">
            <x v="0"/>
          </reference>
          <reference field="14" count="1" selected="0">
            <x v="2"/>
          </reference>
        </references>
      </pivotArea>
    </chartFormat>
    <chartFormat chart="3" format="7" series="1">
      <pivotArea type="data" outline="0" fieldPosition="0">
        <references count="2">
          <reference field="4294967294" count="1" selected="0">
            <x v="0"/>
          </reference>
          <reference field="14" count="1" selected="0">
            <x v="3"/>
          </reference>
        </references>
      </pivotArea>
    </chartFormat>
    <chartFormat chart="7" format="12" series="1">
      <pivotArea type="data" outline="0" fieldPosition="0">
        <references count="2">
          <reference field="4294967294" count="1" selected="0">
            <x v="0"/>
          </reference>
          <reference field="14" count="1" selected="0">
            <x v="0"/>
          </reference>
        </references>
      </pivotArea>
    </chartFormat>
    <chartFormat chart="7" format="13" series="1">
      <pivotArea type="data" outline="0" fieldPosition="0">
        <references count="2">
          <reference field="4294967294" count="1" selected="0">
            <x v="0"/>
          </reference>
          <reference field="14" count="1" selected="0">
            <x v="1"/>
          </reference>
        </references>
      </pivotArea>
    </chartFormat>
    <chartFormat chart="7" format="14" series="1">
      <pivotArea type="data" outline="0" fieldPosition="0">
        <references count="2">
          <reference field="4294967294" count="1" selected="0">
            <x v="0"/>
          </reference>
          <reference field="14" count="1" selected="0">
            <x v="2"/>
          </reference>
        </references>
      </pivotArea>
    </chartFormat>
    <chartFormat chart="7" format="15" series="1">
      <pivotArea type="data" outline="0" fieldPosition="0">
        <references count="2">
          <reference field="4294967294" count="1" selected="0">
            <x v="0"/>
          </reference>
          <reference field="14" count="1" selected="0">
            <x v="3"/>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14" count="1" selected="0">
            <x v="0"/>
          </reference>
        </references>
      </pivotArea>
    </chartFormat>
    <chartFormat chart="16" format="8">
      <pivotArea type="data" outline="0" fieldPosition="0">
        <references count="2">
          <reference field="4294967294" count="1" selected="0">
            <x v="0"/>
          </reference>
          <reference field="14" count="1" selected="0">
            <x v="1"/>
          </reference>
        </references>
      </pivotArea>
    </chartFormat>
    <chartFormat chart="16" format="9">
      <pivotArea type="data" outline="0" fieldPosition="0">
        <references count="2">
          <reference field="4294967294" count="1" selected="0">
            <x v="0"/>
          </reference>
          <reference field="14" count="1" selected="0">
            <x v="2"/>
          </reference>
        </references>
      </pivotArea>
    </chartFormat>
    <chartFormat chart="16"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A0280F-6546-4407-B958-00C04CD00A55}"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63" firstHeaderRow="1" firstDataRow="1" firstDataCol="2"/>
  <pivotFields count="18">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sortType="ascending">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x="1"/>
        <item x="3"/>
        <item x="0"/>
        <item t="default"/>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6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i t="grand">
      <x/>
    </i>
  </rowItems>
  <colItems count="1">
    <i/>
  </colItems>
  <dataFields count="1">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35FDB9-9AC7-4F28-ACF4-D67DBD0C5607}"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63" firstHeaderRow="1" firstDataRow="1" firstDataCol="2"/>
  <pivotFields count="18">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x="1"/>
        <item x="3"/>
        <item x="0"/>
        <item t="default"/>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6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21FE45-E616-43E7-A40C-AB3D7163FED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3">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89DAC4-07B1-43A9-BDA9-A0947F8F9F9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G8"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9">
    <chartFormat chart="4" format="6" series="1">
      <pivotArea type="data" outline="0" fieldPosition="0">
        <references count="2">
          <reference field="4294967294" count="1" selected="0">
            <x v="0"/>
          </reference>
          <reference field="17" count="1" selected="0">
            <x v="1"/>
          </reference>
        </references>
      </pivotArea>
    </chartFormat>
    <chartFormat chart="4" format="7" series="1">
      <pivotArea type="data" outline="0" fieldPosition="0">
        <references count="2">
          <reference field="4294967294" count="1" selected="0">
            <x v="0"/>
          </reference>
          <reference field="17" count="1" selected="0">
            <x v="2"/>
          </reference>
        </references>
      </pivotArea>
    </chartFormat>
    <chartFormat chart="4" format="8" series="1">
      <pivotArea type="data" outline="0" fieldPosition="0">
        <references count="2">
          <reference field="4294967294" count="1" selected="0">
            <x v="0"/>
          </reference>
          <reference field="17" count="1" selected="0">
            <x v="3"/>
          </reference>
        </references>
      </pivotArea>
    </chartFormat>
    <chartFormat chart="4" format="9" series="1">
      <pivotArea type="data" outline="0" fieldPosition="0">
        <references count="1">
          <reference field="4294967294" count="1" selected="0">
            <x v="0"/>
          </reference>
        </references>
      </pivotArea>
    </chartFormat>
    <chartFormat chart="4" format="10" series="1">
      <pivotArea type="data" outline="0" fieldPosition="0">
        <references count="2">
          <reference field="4294967294" count="1" selected="0">
            <x v="0"/>
          </reference>
          <reference field="9" count="1" selected="0">
            <x v="1"/>
          </reference>
        </references>
      </pivotArea>
    </chartFormat>
    <chartFormat chart="4" format="11" series="1">
      <pivotArea type="data" outline="0" fieldPosition="0">
        <references count="2">
          <reference field="4294967294" count="1" selected="0">
            <x v="0"/>
          </reference>
          <reference field="9" count="1" selected="0">
            <x v="2"/>
          </reference>
        </references>
      </pivotArea>
    </chartFormat>
    <chartFormat chart="4" format="12" series="1">
      <pivotArea type="data" outline="0" fieldPosition="0">
        <references count="2">
          <reference field="4294967294" count="1" selected="0">
            <x v="0"/>
          </reference>
          <reference field="9" count="1" selected="0">
            <x v="3"/>
          </reference>
        </references>
      </pivotArea>
    </chartFormat>
    <chartFormat chart="4" format="13" series="1">
      <pivotArea type="data" outline="0" fieldPosition="0">
        <references count="2">
          <reference field="4294967294" count="1" selected="0">
            <x v="0"/>
          </reference>
          <reference field="9" count="1" selected="0">
            <x v="4"/>
          </reference>
        </references>
      </pivotArea>
    </chartFormat>
    <chartFormat chart="4" format="14"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EA64D2-4450-46CF-9D88-E07DBA30756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A5EA880-8045-49E9-A6B7-D12A79CF41D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8:C22"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4">
    <chartFormat chart="30" format="10" series="1">
      <pivotArea type="data" outline="0" fieldPosition="0">
        <references count="1">
          <reference field="4294967294" count="1" selected="0">
            <x v="0"/>
          </reference>
        </references>
      </pivotArea>
    </chartFormat>
    <chartFormat chart="30" format="11" series="1">
      <pivotArea type="data" outline="0" fieldPosition="0">
        <references count="1">
          <reference field="4294967294" count="1" selected="0">
            <x v="1"/>
          </reference>
        </references>
      </pivotArea>
    </chartFormat>
    <chartFormat chart="34" format="12" series="1">
      <pivotArea type="data" outline="0" fieldPosition="0">
        <references count="1">
          <reference field="4294967294" count="1" selected="0">
            <x v="0"/>
          </reference>
        </references>
      </pivotArea>
    </chartFormat>
    <chartFormat chart="34"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A78631F4-905C-440D-8BE0-A8BFB88B9A21}" sourceName="Gender Value">
  <pivotTables>
    <pivotTable tabId="16" name="PivotTable10"/>
    <pivotTable tabId="5" name="PivotTable1"/>
    <pivotTable tabId="5" name="PivotTable2"/>
    <pivotTable tabId="15" name="PivotTable9"/>
    <pivotTable tabId="8" name="PivotTable4"/>
    <pivotTable tabId="10" name="PivotTable7"/>
    <pivotTable tabId="12" name="PivotTable8"/>
  </pivotTables>
  <data>
    <tabular pivotCacheId="1894219539">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2E8C16EC-F98A-441E-B08B-08E150ED08A7}" sourceName="Order Mode">
  <pivotTables>
    <pivotTable tabId="16" name="PivotTable10"/>
    <pivotTable tabId="5" name="PivotTable1"/>
    <pivotTable tabId="5" name="PivotTable2"/>
    <pivotTable tabId="15" name="PivotTable9"/>
    <pivotTable tabId="8" name="PivotTable4"/>
    <pivotTable tabId="9" name="PivotTable5"/>
    <pivotTable tabId="9" name="PivotTable6"/>
    <pivotTable tabId="10" name="PivotTable7"/>
    <pivotTable tabId="12" name="PivotTable8"/>
  </pivotTables>
  <data>
    <tabular pivotCacheId="1894219539">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D821D215-4F97-4695-A503-D858699A6860}" cache="Slicer_Gender_Value" caption="Gender Value" rowHeight="251883"/>
  <slicer name="Order Mode" xr10:uid="{F50645BE-4CEE-413A-B5BB-C9B04FDE1D62}" cache="Slicer_Order_Mode" caption="Order Mod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9E9F7-1EE6-4FAC-8995-D6DA9D445DD9}">
  <dimension ref="A2:M10"/>
  <sheetViews>
    <sheetView workbookViewId="0">
      <selection activeCell="H16" sqref="H16"/>
    </sheetView>
  </sheetViews>
  <sheetFormatPr defaultRowHeight="14.5" x14ac:dyDescent="0.35"/>
  <cols>
    <col min="1" max="1" width="13.6328125" bestFit="1" customWidth="1"/>
    <col min="2" max="2" width="15.6328125" bestFit="1" customWidth="1"/>
    <col min="3" max="3" width="6.90625" bestFit="1" customWidth="1"/>
    <col min="4" max="4" width="5.90625" bestFit="1" customWidth="1"/>
    <col min="5" max="5" width="8.7265625" bestFit="1" customWidth="1"/>
    <col min="6" max="6" width="10.36328125" bestFit="1" customWidth="1"/>
    <col min="9" max="9" width="10.90625" customWidth="1"/>
    <col min="10" max="12" width="8.7265625" customWidth="1"/>
  </cols>
  <sheetData>
    <row r="2" spans="1:13" x14ac:dyDescent="0.35">
      <c r="I2" t="s">
        <v>2534</v>
      </c>
    </row>
    <row r="3" spans="1:13" x14ac:dyDescent="0.35">
      <c r="A3" s="6" t="s">
        <v>2520</v>
      </c>
      <c r="B3" s="6" t="s">
        <v>2529</v>
      </c>
    </row>
    <row r="4" spans="1:13" ht="23.5" customHeight="1" x14ac:dyDescent="0.35">
      <c r="A4" s="6" t="s">
        <v>2527</v>
      </c>
      <c r="B4" t="s">
        <v>2530</v>
      </c>
      <c r="C4" t="s">
        <v>2531</v>
      </c>
      <c r="D4" t="s">
        <v>2532</v>
      </c>
      <c r="E4" t="s">
        <v>2533</v>
      </c>
      <c r="F4" t="s">
        <v>2528</v>
      </c>
      <c r="I4" s="10"/>
      <c r="J4" s="10" t="str">
        <f>B4</f>
        <v>Female</v>
      </c>
      <c r="K4" s="10" t="str">
        <f t="shared" ref="K4:M4" si="0">C4</f>
        <v>Male</v>
      </c>
      <c r="L4" s="10" t="str">
        <f t="shared" si="0"/>
        <v>Other</v>
      </c>
      <c r="M4" s="10" t="str">
        <f t="shared" si="0"/>
        <v>Unknown</v>
      </c>
    </row>
    <row r="5" spans="1:13" ht="20.5" customHeight="1" x14ac:dyDescent="0.35">
      <c r="A5" s="7" t="s">
        <v>18</v>
      </c>
      <c r="B5" s="9">
        <v>0.18961825201634841</v>
      </c>
      <c r="C5" s="9">
        <v>0.12262322351336576</v>
      </c>
      <c r="D5" s="9">
        <v>1.060537752469185E-2</v>
      </c>
      <c r="E5" s="9">
        <v>3.0599220547662797E-2</v>
      </c>
      <c r="F5" s="9">
        <v>0.35344607360206881</v>
      </c>
      <c r="I5" s="10" t="str">
        <f>A5</f>
        <v>App</v>
      </c>
      <c r="J5" s="12">
        <f t="shared" ref="J5:M5" si="1">B5</f>
        <v>0.18961825201634841</v>
      </c>
      <c r="K5" s="13">
        <f t="shared" si="1"/>
        <v>0.12262322351336576</v>
      </c>
      <c r="L5" s="14">
        <f t="shared" si="1"/>
        <v>1.060537752469185E-2</v>
      </c>
      <c r="M5" s="14">
        <f t="shared" si="1"/>
        <v>3.0599220547662797E-2</v>
      </c>
    </row>
    <row r="6" spans="1:13" ht="26" customHeight="1" x14ac:dyDescent="0.35">
      <c r="A6" s="7" t="s">
        <v>51</v>
      </c>
      <c r="B6" s="9">
        <v>5.0283982091147303E-2</v>
      </c>
      <c r="C6" s="9">
        <v>4.3060781812819873E-2</v>
      </c>
      <c r="D6" s="9">
        <v>1.5320025675641944E-3</v>
      </c>
      <c r="E6" s="9">
        <v>1.7794988689097006E-2</v>
      </c>
      <c r="F6" s="9">
        <v>0.11267175516062837</v>
      </c>
      <c r="I6" s="10" t="str">
        <f t="shared" ref="I6:I9" si="2">A6</f>
        <v>Instagram</v>
      </c>
      <c r="J6" s="15">
        <f t="shared" ref="J6:J9" si="3">B6</f>
        <v>5.0283982091147303E-2</v>
      </c>
      <c r="K6" s="16">
        <f t="shared" ref="K6:K9" si="4">C6</f>
        <v>4.3060781812819873E-2</v>
      </c>
      <c r="L6" s="10">
        <f>D6</f>
        <v>1.5320025675641944E-3</v>
      </c>
      <c r="M6" s="10">
        <f t="shared" ref="M6:M9" si="5">E6</f>
        <v>1.7794988689097006E-2</v>
      </c>
    </row>
    <row r="7" spans="1:13" ht="26" customHeight="1" x14ac:dyDescent="0.35">
      <c r="A7" s="7" t="s">
        <v>70</v>
      </c>
      <c r="B7" s="9">
        <v>6.3496059750411282E-2</v>
      </c>
      <c r="C7" s="9">
        <v>4.6071629863988765E-2</v>
      </c>
      <c r="D7" s="9">
        <v>2.306247051322625E-3</v>
      </c>
      <c r="E7" s="9">
        <v>3.8927934093844286E-3</v>
      </c>
      <c r="F7" s="9">
        <v>0.11576673007510711</v>
      </c>
      <c r="I7" s="10" t="str">
        <f t="shared" si="2"/>
        <v>Partner App</v>
      </c>
      <c r="J7" s="17">
        <f t="shared" si="3"/>
        <v>6.3496059750411282E-2</v>
      </c>
      <c r="K7" s="18">
        <f t="shared" si="4"/>
        <v>4.6071629863988765E-2</v>
      </c>
      <c r="L7" s="10">
        <f t="shared" ref="L7:L9" si="6">D7</f>
        <v>2.306247051322625E-3</v>
      </c>
      <c r="M7" s="14">
        <f t="shared" si="5"/>
        <v>3.8927934093844286E-3</v>
      </c>
    </row>
    <row r="8" spans="1:13" ht="27" customHeight="1" x14ac:dyDescent="0.35">
      <c r="A8" s="7" t="s">
        <v>40</v>
      </c>
      <c r="B8" s="9">
        <v>9.6337892927149532E-2</v>
      </c>
      <c r="C8" s="9">
        <v>6.7920115842382611E-2</v>
      </c>
      <c r="D8" s="9">
        <v>5.4979832664581261E-3</v>
      </c>
      <c r="E8" s="9">
        <v>1.2933041488102518E-2</v>
      </c>
      <c r="F8" s="9">
        <v>0.1826890335240928</v>
      </c>
      <c r="I8" s="14" t="str">
        <f t="shared" si="2"/>
        <v>Target.com</v>
      </c>
      <c r="J8" s="10">
        <f t="shared" si="3"/>
        <v>9.6337892927149532E-2</v>
      </c>
      <c r="K8" s="18">
        <f t="shared" si="4"/>
        <v>6.7920115842382611E-2</v>
      </c>
      <c r="L8" s="10">
        <f t="shared" si="6"/>
        <v>5.4979832664581261E-3</v>
      </c>
      <c r="M8" s="10">
        <f t="shared" si="5"/>
        <v>1.2933041488102518E-2</v>
      </c>
    </row>
    <row r="9" spans="1:13" ht="27.5" customHeight="1" x14ac:dyDescent="0.35">
      <c r="A9" s="7" t="s">
        <v>35</v>
      </c>
      <c r="B9" s="9">
        <v>0.12522098709469262</v>
      </c>
      <c r="C9" s="9">
        <v>9.1492740283116228E-2</v>
      </c>
      <c r="D9" s="9">
        <v>6.3042760790965081E-3</v>
      </c>
      <c r="E9" s="9">
        <v>1.2408404181197551E-2</v>
      </c>
      <c r="F9" s="9">
        <v>0.23542640763810288</v>
      </c>
      <c r="I9" s="10" t="str">
        <f t="shared" si="2"/>
        <v>Website</v>
      </c>
      <c r="J9" s="10">
        <f t="shared" si="3"/>
        <v>0.12522098709469262</v>
      </c>
      <c r="K9" s="10">
        <f t="shared" si="4"/>
        <v>9.1492740283116228E-2</v>
      </c>
      <c r="L9" s="10">
        <f t="shared" si="6"/>
        <v>6.3042760790965081E-3</v>
      </c>
      <c r="M9" s="17">
        <f t="shared" si="5"/>
        <v>1.2408404181197551E-2</v>
      </c>
    </row>
    <row r="10" spans="1:13" x14ac:dyDescent="0.35">
      <c r="A10" s="7" t="s">
        <v>2528</v>
      </c>
      <c r="B10" s="9">
        <v>0.52495717387974916</v>
      </c>
      <c r="C10" s="9">
        <v>0.3711684913156732</v>
      </c>
      <c r="D10" s="9">
        <v>2.6245886489133303E-2</v>
      </c>
      <c r="E10" s="9">
        <v>7.7628448315444312E-2</v>
      </c>
      <c r="F10" s="9">
        <v>1</v>
      </c>
      <c r="I10" s="11"/>
      <c r="J10" s="11"/>
      <c r="K10" s="11"/>
      <c r="L10" s="11"/>
    </row>
  </sheetData>
  <conditionalFormatting sqref="I4:M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C6508-6C8F-4B38-AF29-28CCC8C970A7}">
  <dimension ref="A3:B11"/>
  <sheetViews>
    <sheetView workbookViewId="0">
      <selection activeCell="AW12" sqref="AW12"/>
    </sheetView>
  </sheetViews>
  <sheetFormatPr defaultRowHeight="14.5" x14ac:dyDescent="0.35"/>
  <cols>
    <col min="1" max="2" width="12.453125" bestFit="1" customWidth="1"/>
    <col min="3" max="8" width="3.81640625" bestFit="1" customWidth="1"/>
    <col min="9" max="49" width="2.81640625" bestFit="1" customWidth="1"/>
    <col min="50" max="50" width="10.36328125" bestFit="1" customWidth="1"/>
  </cols>
  <sheetData>
    <row r="3" spans="1:2" x14ac:dyDescent="0.35">
      <c r="A3" s="6" t="s">
        <v>2527</v>
      </c>
      <c r="B3" t="s">
        <v>2518</v>
      </c>
    </row>
    <row r="4" spans="1:2" x14ac:dyDescent="0.35">
      <c r="A4" s="7">
        <v>1</v>
      </c>
      <c r="B4">
        <v>397</v>
      </c>
    </row>
    <row r="5" spans="1:2" x14ac:dyDescent="0.35">
      <c r="A5" s="7">
        <v>2</v>
      </c>
      <c r="B5">
        <v>540</v>
      </c>
    </row>
    <row r="6" spans="1:2" x14ac:dyDescent="0.35">
      <c r="A6" s="7">
        <v>3</v>
      </c>
      <c r="B6">
        <v>375</v>
      </c>
    </row>
    <row r="7" spans="1:2" x14ac:dyDescent="0.35">
      <c r="A7" s="7">
        <v>4</v>
      </c>
      <c r="B7">
        <v>246</v>
      </c>
    </row>
    <row r="8" spans="1:2" x14ac:dyDescent="0.35">
      <c r="A8" s="7">
        <v>5</v>
      </c>
      <c r="B8">
        <v>195</v>
      </c>
    </row>
    <row r="9" spans="1:2" x14ac:dyDescent="0.35">
      <c r="A9" s="7" t="s">
        <v>2535</v>
      </c>
      <c r="B9">
        <v>414</v>
      </c>
    </row>
    <row r="10" spans="1:2" x14ac:dyDescent="0.35">
      <c r="A10" s="7" t="s">
        <v>2536</v>
      </c>
      <c r="B10">
        <v>233</v>
      </c>
    </row>
    <row r="11" spans="1:2" x14ac:dyDescent="0.35">
      <c r="A11" s="7" t="s">
        <v>2528</v>
      </c>
      <c r="B11">
        <v>2400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927B4-A5E9-4A45-BBEF-7194FBCF92A4}">
  <dimension ref="A3:K25"/>
  <sheetViews>
    <sheetView workbookViewId="0">
      <selection activeCell="N17" sqref="N17"/>
    </sheetView>
  </sheetViews>
  <sheetFormatPr defaultRowHeight="14.5" x14ac:dyDescent="0.35"/>
  <cols>
    <col min="1" max="1" width="19" bestFit="1" customWidth="1"/>
    <col min="2" max="2" width="15.6328125" bestFit="1" customWidth="1"/>
    <col min="3" max="3" width="4.81640625" bestFit="1" customWidth="1"/>
    <col min="4" max="4" width="5.453125" bestFit="1" customWidth="1"/>
    <col min="5" max="5" width="8.7265625" bestFit="1" customWidth="1"/>
    <col min="6" max="6" width="10.36328125" bestFit="1" customWidth="1"/>
    <col min="10" max="10" width="12.453125" bestFit="1" customWidth="1"/>
    <col min="11" max="11" width="14.26953125" bestFit="1" customWidth="1"/>
    <col min="12" max="12" width="4.81640625" bestFit="1" customWidth="1"/>
    <col min="13" max="13" width="5.453125" bestFit="1" customWidth="1"/>
    <col min="15" max="15" width="10.36328125" bestFit="1" customWidth="1"/>
  </cols>
  <sheetData>
    <row r="3" spans="1:11" x14ac:dyDescent="0.35">
      <c r="A3" s="6" t="s">
        <v>2519</v>
      </c>
      <c r="B3" s="6" t="s">
        <v>2529</v>
      </c>
    </row>
    <row r="4" spans="1:11" x14ac:dyDescent="0.35">
      <c r="A4" s="6" t="s">
        <v>2527</v>
      </c>
      <c r="B4" t="s">
        <v>2530</v>
      </c>
      <c r="C4" t="s">
        <v>2531</v>
      </c>
      <c r="D4" t="s">
        <v>2532</v>
      </c>
      <c r="E4" t="s">
        <v>2533</v>
      </c>
      <c r="F4" t="s">
        <v>2528</v>
      </c>
    </row>
    <row r="5" spans="1:11" x14ac:dyDescent="0.35">
      <c r="A5" s="7" t="s">
        <v>44</v>
      </c>
      <c r="B5">
        <v>744</v>
      </c>
      <c r="C5">
        <v>713</v>
      </c>
      <c r="D5">
        <v>90</v>
      </c>
      <c r="E5">
        <v>98</v>
      </c>
      <c r="F5">
        <v>1645</v>
      </c>
    </row>
    <row r="6" spans="1:11" x14ac:dyDescent="0.35">
      <c r="A6" s="7" t="s">
        <v>39</v>
      </c>
      <c r="B6">
        <v>716</v>
      </c>
      <c r="C6">
        <v>598</v>
      </c>
      <c r="D6">
        <v>18</v>
      </c>
      <c r="E6">
        <v>214</v>
      </c>
      <c r="F6">
        <v>1546</v>
      </c>
    </row>
    <row r="7" spans="1:11" x14ac:dyDescent="0.35">
      <c r="A7" s="7" t="s">
        <v>26</v>
      </c>
      <c r="B7">
        <v>627</v>
      </c>
      <c r="C7">
        <v>393</v>
      </c>
      <c r="D7">
        <v>29</v>
      </c>
      <c r="E7">
        <v>137</v>
      </c>
      <c r="F7">
        <v>1186</v>
      </c>
      <c r="J7" s="6" t="s">
        <v>2527</v>
      </c>
      <c r="K7" t="s">
        <v>2519</v>
      </c>
    </row>
    <row r="8" spans="1:11" x14ac:dyDescent="0.35">
      <c r="A8" s="7" t="s">
        <v>22</v>
      </c>
      <c r="B8">
        <v>568</v>
      </c>
      <c r="C8">
        <v>306</v>
      </c>
      <c r="D8">
        <v>22</v>
      </c>
      <c r="E8">
        <v>16</v>
      </c>
      <c r="F8">
        <v>912</v>
      </c>
      <c r="J8" s="7" t="s">
        <v>2530</v>
      </c>
      <c r="K8">
        <v>6272</v>
      </c>
    </row>
    <row r="9" spans="1:11" x14ac:dyDescent="0.35">
      <c r="A9" s="7" t="s">
        <v>54</v>
      </c>
      <c r="B9">
        <v>482</v>
      </c>
      <c r="C9">
        <v>295</v>
      </c>
      <c r="D9">
        <v>8</v>
      </c>
      <c r="E9">
        <v>22</v>
      </c>
      <c r="F9">
        <v>807</v>
      </c>
      <c r="J9" s="7" t="s">
        <v>2531</v>
      </c>
      <c r="K9">
        <v>4672</v>
      </c>
    </row>
    <row r="10" spans="1:11" x14ac:dyDescent="0.35">
      <c r="A10" s="7" t="s">
        <v>16</v>
      </c>
      <c r="B10">
        <v>428</v>
      </c>
      <c r="C10">
        <v>293</v>
      </c>
      <c r="E10">
        <v>24</v>
      </c>
      <c r="F10">
        <v>745</v>
      </c>
      <c r="J10" s="7" t="s">
        <v>2532</v>
      </c>
      <c r="K10">
        <v>317</v>
      </c>
    </row>
    <row r="11" spans="1:11" x14ac:dyDescent="0.35">
      <c r="A11" s="7" t="s">
        <v>46</v>
      </c>
      <c r="B11">
        <v>445</v>
      </c>
      <c r="C11">
        <v>202</v>
      </c>
      <c r="D11">
        <v>14</v>
      </c>
      <c r="E11">
        <v>39</v>
      </c>
      <c r="F11">
        <v>700</v>
      </c>
      <c r="J11" s="7" t="s">
        <v>2533</v>
      </c>
      <c r="K11">
        <v>736</v>
      </c>
    </row>
    <row r="12" spans="1:11" x14ac:dyDescent="0.35">
      <c r="A12" s="7" t="s">
        <v>32</v>
      </c>
      <c r="B12">
        <v>431</v>
      </c>
      <c r="C12">
        <v>187</v>
      </c>
      <c r="D12">
        <v>14</v>
      </c>
      <c r="E12">
        <v>15</v>
      </c>
      <c r="F12">
        <v>647</v>
      </c>
      <c r="J12" s="7" t="s">
        <v>2528</v>
      </c>
      <c r="K12">
        <v>11997</v>
      </c>
    </row>
    <row r="13" spans="1:11" x14ac:dyDescent="0.35">
      <c r="A13" s="7" t="s">
        <v>42</v>
      </c>
      <c r="B13">
        <v>264</v>
      </c>
      <c r="C13">
        <v>318</v>
      </c>
      <c r="D13">
        <v>15</v>
      </c>
      <c r="E13">
        <v>9</v>
      </c>
      <c r="F13">
        <v>606</v>
      </c>
    </row>
    <row r="14" spans="1:11" x14ac:dyDescent="0.35">
      <c r="A14" s="7" t="s">
        <v>37</v>
      </c>
      <c r="B14">
        <v>296</v>
      </c>
      <c r="C14">
        <v>275</v>
      </c>
      <c r="D14">
        <v>9</v>
      </c>
      <c r="E14">
        <v>23</v>
      </c>
      <c r="F14">
        <v>603</v>
      </c>
    </row>
    <row r="15" spans="1:11" x14ac:dyDescent="0.35">
      <c r="A15" s="7" t="s">
        <v>123</v>
      </c>
      <c r="B15">
        <v>153</v>
      </c>
      <c r="C15">
        <v>246</v>
      </c>
      <c r="D15">
        <v>30</v>
      </c>
      <c r="E15">
        <v>8</v>
      </c>
      <c r="F15">
        <v>437</v>
      </c>
    </row>
    <row r="16" spans="1:11" x14ac:dyDescent="0.35">
      <c r="A16" s="7" t="s">
        <v>146</v>
      </c>
      <c r="B16">
        <v>189</v>
      </c>
      <c r="C16">
        <v>168</v>
      </c>
      <c r="D16">
        <v>10</v>
      </c>
      <c r="E16">
        <v>31</v>
      </c>
      <c r="F16">
        <v>398</v>
      </c>
    </row>
    <row r="17" spans="1:6" x14ac:dyDescent="0.35">
      <c r="A17" s="7" t="s">
        <v>69</v>
      </c>
      <c r="B17">
        <v>234</v>
      </c>
      <c r="C17">
        <v>93</v>
      </c>
      <c r="D17">
        <v>19</v>
      </c>
      <c r="E17">
        <v>24</v>
      </c>
      <c r="F17">
        <v>370</v>
      </c>
    </row>
    <row r="18" spans="1:6" x14ac:dyDescent="0.35">
      <c r="A18" s="7" t="s">
        <v>30</v>
      </c>
      <c r="B18">
        <v>146</v>
      </c>
      <c r="C18">
        <v>94</v>
      </c>
      <c r="D18">
        <v>4</v>
      </c>
      <c r="E18">
        <v>28</v>
      </c>
      <c r="F18">
        <v>272</v>
      </c>
    </row>
    <row r="19" spans="1:6" x14ac:dyDescent="0.35">
      <c r="A19" s="7" t="s">
        <v>135</v>
      </c>
      <c r="B19">
        <v>127</v>
      </c>
      <c r="C19">
        <v>118</v>
      </c>
      <c r="D19">
        <v>13</v>
      </c>
      <c r="E19">
        <v>12</v>
      </c>
      <c r="F19">
        <v>270</v>
      </c>
    </row>
    <row r="20" spans="1:6" x14ac:dyDescent="0.35">
      <c r="A20" s="7" t="s">
        <v>67</v>
      </c>
      <c r="B20">
        <v>179</v>
      </c>
      <c r="C20">
        <v>76</v>
      </c>
      <c r="D20">
        <v>3</v>
      </c>
      <c r="F20">
        <v>258</v>
      </c>
    </row>
    <row r="21" spans="1:6" x14ac:dyDescent="0.35">
      <c r="A21" s="7" t="s">
        <v>128</v>
      </c>
      <c r="B21">
        <v>99</v>
      </c>
      <c r="C21">
        <v>69</v>
      </c>
      <c r="D21">
        <v>3</v>
      </c>
      <c r="E21">
        <v>24</v>
      </c>
      <c r="F21">
        <v>195</v>
      </c>
    </row>
    <row r="22" spans="1:6" x14ac:dyDescent="0.35">
      <c r="A22" s="7" t="s">
        <v>76</v>
      </c>
      <c r="B22">
        <v>75</v>
      </c>
      <c r="C22">
        <v>103</v>
      </c>
      <c r="D22">
        <v>4</v>
      </c>
      <c r="E22">
        <v>6</v>
      </c>
      <c r="F22">
        <v>188</v>
      </c>
    </row>
    <row r="23" spans="1:6" x14ac:dyDescent="0.35">
      <c r="A23" s="7" t="s">
        <v>81</v>
      </c>
      <c r="B23">
        <v>43</v>
      </c>
      <c r="C23">
        <v>90</v>
      </c>
      <c r="D23">
        <v>8</v>
      </c>
      <c r="E23">
        <v>6</v>
      </c>
      <c r="F23">
        <v>147</v>
      </c>
    </row>
    <row r="24" spans="1:6" x14ac:dyDescent="0.35">
      <c r="A24" s="7" t="s">
        <v>171</v>
      </c>
      <c r="B24">
        <v>26</v>
      </c>
      <c r="C24">
        <v>35</v>
      </c>
      <c r="D24">
        <v>4</v>
      </c>
      <c r="F24">
        <v>65</v>
      </c>
    </row>
    <row r="25" spans="1:6" x14ac:dyDescent="0.35">
      <c r="A25" s="7" t="s">
        <v>2528</v>
      </c>
      <c r="B25">
        <v>6272</v>
      </c>
      <c r="C25">
        <v>4672</v>
      </c>
      <c r="D25">
        <v>317</v>
      </c>
      <c r="E25">
        <v>736</v>
      </c>
      <c r="F25">
        <v>11997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62F73-D2AD-4051-AAC1-38E2CB6A4EB3}">
  <dimension ref="A1:I63"/>
  <sheetViews>
    <sheetView zoomScale="90" zoomScaleNormal="90" workbookViewId="0">
      <selection activeCell="O9" sqref="O9"/>
    </sheetView>
  </sheetViews>
  <sheetFormatPr defaultRowHeight="14.5" x14ac:dyDescent="0.35"/>
  <cols>
    <col min="1" max="1" width="23.1796875" bestFit="1" customWidth="1"/>
    <col min="2" max="2" width="20" bestFit="1" customWidth="1"/>
    <col min="3" max="3" width="14.453125" bestFit="1" customWidth="1"/>
    <col min="4" max="4" width="14.26953125" bestFit="1" customWidth="1"/>
    <col min="8" max="8" width="16.7265625" customWidth="1"/>
    <col min="12" max="12" width="13.54296875" customWidth="1"/>
  </cols>
  <sheetData>
    <row r="1" spans="1:9" x14ac:dyDescent="0.35">
      <c r="G1" t="s">
        <v>2538</v>
      </c>
    </row>
    <row r="3" spans="1:9" x14ac:dyDescent="0.35">
      <c r="A3" s="6" t="s">
        <v>10</v>
      </c>
      <c r="B3" s="6" t="s">
        <v>11</v>
      </c>
      <c r="C3" t="s">
        <v>2519</v>
      </c>
      <c r="G3" t="str">
        <f>A3</f>
        <v>State</v>
      </c>
      <c r="H3" t="str">
        <f t="shared" ref="H3" si="0">B3</f>
        <v>County</v>
      </c>
      <c r="I3" t="s">
        <v>2</v>
      </c>
    </row>
    <row r="4" spans="1:9" x14ac:dyDescent="0.35">
      <c r="A4" t="s">
        <v>19</v>
      </c>
      <c r="B4" t="s">
        <v>115</v>
      </c>
      <c r="C4">
        <v>579</v>
      </c>
      <c r="G4" t="str">
        <f>IF(A4="","",A4)</f>
        <v>California</v>
      </c>
      <c r="H4" t="str">
        <f t="shared" ref="H4:I19" si="1">IF(B4="","",B4)</f>
        <v>Alameda County</v>
      </c>
      <c r="I4">
        <f t="shared" si="1"/>
        <v>579</v>
      </c>
    </row>
    <row r="5" spans="1:9" x14ac:dyDescent="0.35">
      <c r="A5" t="s">
        <v>19</v>
      </c>
      <c r="B5" t="s">
        <v>20</v>
      </c>
      <c r="C5">
        <v>1</v>
      </c>
      <c r="G5" t="str">
        <f t="shared" ref="G5:G63" si="2">IF(A5="","",A5)</f>
        <v>California</v>
      </c>
      <c r="H5" t="str">
        <f t="shared" si="1"/>
        <v>Alpine County</v>
      </c>
      <c r="I5">
        <f t="shared" si="1"/>
        <v>1</v>
      </c>
    </row>
    <row r="6" spans="1:9" x14ac:dyDescent="0.35">
      <c r="A6" t="s">
        <v>19</v>
      </c>
      <c r="B6" t="s">
        <v>641</v>
      </c>
      <c r="C6">
        <v>9</v>
      </c>
      <c r="G6" t="str">
        <f t="shared" si="2"/>
        <v>California</v>
      </c>
      <c r="H6" t="str">
        <f t="shared" si="1"/>
        <v>Amador County</v>
      </c>
      <c r="I6">
        <f t="shared" si="1"/>
        <v>9</v>
      </c>
    </row>
    <row r="7" spans="1:9" x14ac:dyDescent="0.35">
      <c r="A7" t="s">
        <v>19</v>
      </c>
      <c r="B7" t="s">
        <v>967</v>
      </c>
      <c r="C7">
        <v>35</v>
      </c>
      <c r="G7" t="str">
        <f t="shared" si="2"/>
        <v>California</v>
      </c>
      <c r="H7" t="str">
        <f t="shared" si="1"/>
        <v>Butte County</v>
      </c>
      <c r="I7">
        <f t="shared" si="1"/>
        <v>35</v>
      </c>
    </row>
    <row r="8" spans="1:9" x14ac:dyDescent="0.35">
      <c r="A8" t="s">
        <v>19</v>
      </c>
      <c r="B8" t="s">
        <v>84</v>
      </c>
      <c r="C8">
        <v>12</v>
      </c>
      <c r="G8" t="str">
        <f t="shared" si="2"/>
        <v>California</v>
      </c>
      <c r="H8" t="str">
        <f t="shared" si="1"/>
        <v>Calaveras County</v>
      </c>
      <c r="I8">
        <f t="shared" si="1"/>
        <v>12</v>
      </c>
    </row>
    <row r="9" spans="1:9" x14ac:dyDescent="0.35">
      <c r="A9" t="s">
        <v>19</v>
      </c>
      <c r="B9" t="s">
        <v>1383</v>
      </c>
      <c r="C9">
        <v>4</v>
      </c>
      <c r="G9" t="str">
        <f t="shared" si="2"/>
        <v>California</v>
      </c>
      <c r="H9" t="str">
        <f t="shared" si="1"/>
        <v>Colusa County</v>
      </c>
      <c r="I9">
        <f t="shared" si="1"/>
        <v>4</v>
      </c>
    </row>
    <row r="10" spans="1:9" x14ac:dyDescent="0.35">
      <c r="A10" t="s">
        <v>19</v>
      </c>
      <c r="B10" t="s">
        <v>24</v>
      </c>
      <c r="C10">
        <v>341</v>
      </c>
      <c r="G10" t="str">
        <f t="shared" si="2"/>
        <v>California</v>
      </c>
      <c r="H10" t="str">
        <f t="shared" si="1"/>
        <v>Contra Costa County</v>
      </c>
      <c r="I10">
        <f t="shared" si="1"/>
        <v>341</v>
      </c>
    </row>
    <row r="11" spans="1:9" x14ac:dyDescent="0.35">
      <c r="A11" t="s">
        <v>19</v>
      </c>
      <c r="B11" t="s">
        <v>2204</v>
      </c>
      <c r="C11">
        <v>13</v>
      </c>
      <c r="G11" t="str">
        <f t="shared" si="2"/>
        <v>California</v>
      </c>
      <c r="H11" t="str">
        <f t="shared" si="1"/>
        <v>Del Norte County</v>
      </c>
      <c r="I11">
        <f t="shared" si="1"/>
        <v>13</v>
      </c>
    </row>
    <row r="12" spans="1:9" x14ac:dyDescent="0.35">
      <c r="A12" t="s">
        <v>19</v>
      </c>
      <c r="B12" t="s">
        <v>437</v>
      </c>
      <c r="C12">
        <v>31</v>
      </c>
      <c r="G12" t="str">
        <f t="shared" si="2"/>
        <v>California</v>
      </c>
      <c r="H12" t="str">
        <f t="shared" si="1"/>
        <v>El Dorado County</v>
      </c>
      <c r="I12">
        <f t="shared" si="1"/>
        <v>31</v>
      </c>
    </row>
    <row r="13" spans="1:9" x14ac:dyDescent="0.35">
      <c r="A13" t="s">
        <v>19</v>
      </c>
      <c r="B13" t="s">
        <v>28</v>
      </c>
      <c r="C13">
        <v>279</v>
      </c>
      <c r="G13" t="str">
        <f t="shared" si="2"/>
        <v>California</v>
      </c>
      <c r="H13" t="str">
        <f t="shared" si="1"/>
        <v>Fresno County</v>
      </c>
      <c r="I13">
        <f t="shared" si="1"/>
        <v>279</v>
      </c>
    </row>
    <row r="14" spans="1:9" x14ac:dyDescent="0.35">
      <c r="A14" t="s">
        <v>19</v>
      </c>
      <c r="B14" t="s">
        <v>208</v>
      </c>
      <c r="C14">
        <v>9</v>
      </c>
      <c r="G14" t="str">
        <f t="shared" si="2"/>
        <v>California</v>
      </c>
      <c r="H14" t="str">
        <f t="shared" si="1"/>
        <v>Glenn County</v>
      </c>
      <c r="I14">
        <f t="shared" si="1"/>
        <v>9</v>
      </c>
    </row>
    <row r="15" spans="1:9" x14ac:dyDescent="0.35">
      <c r="A15" t="s">
        <v>19</v>
      </c>
      <c r="B15" t="s">
        <v>587</v>
      </c>
      <c r="C15">
        <v>49</v>
      </c>
      <c r="G15" t="str">
        <f t="shared" si="2"/>
        <v>California</v>
      </c>
      <c r="H15" t="str">
        <f t="shared" si="1"/>
        <v>Humboldt County</v>
      </c>
      <c r="I15">
        <f t="shared" si="1"/>
        <v>49</v>
      </c>
    </row>
    <row r="16" spans="1:9" x14ac:dyDescent="0.35">
      <c r="A16" t="s">
        <v>19</v>
      </c>
      <c r="B16" t="s">
        <v>331</v>
      </c>
      <c r="C16">
        <v>59</v>
      </c>
      <c r="G16" t="str">
        <f t="shared" si="2"/>
        <v>California</v>
      </c>
      <c r="H16" t="str">
        <f t="shared" si="1"/>
        <v>Imperial County</v>
      </c>
      <c r="I16">
        <f t="shared" si="1"/>
        <v>59</v>
      </c>
    </row>
    <row r="17" spans="1:9" x14ac:dyDescent="0.35">
      <c r="A17" t="s">
        <v>19</v>
      </c>
      <c r="B17" t="s">
        <v>86</v>
      </c>
      <c r="C17">
        <v>8</v>
      </c>
      <c r="G17" t="str">
        <f t="shared" si="2"/>
        <v>California</v>
      </c>
      <c r="H17" t="str">
        <f t="shared" si="1"/>
        <v>Inyo County</v>
      </c>
      <c r="I17">
        <f t="shared" si="1"/>
        <v>8</v>
      </c>
    </row>
    <row r="18" spans="1:9" x14ac:dyDescent="0.35">
      <c r="A18" t="s">
        <v>19</v>
      </c>
      <c r="B18" t="s">
        <v>147</v>
      </c>
      <c r="C18">
        <v>222</v>
      </c>
      <c r="G18" t="str">
        <f t="shared" si="2"/>
        <v>California</v>
      </c>
      <c r="H18" t="str">
        <f t="shared" si="1"/>
        <v>Kern County</v>
      </c>
      <c r="I18">
        <f t="shared" si="1"/>
        <v>222</v>
      </c>
    </row>
    <row r="19" spans="1:9" x14ac:dyDescent="0.35">
      <c r="A19" t="s">
        <v>19</v>
      </c>
      <c r="B19" t="s">
        <v>334</v>
      </c>
      <c r="C19">
        <v>36</v>
      </c>
      <c r="G19" t="str">
        <f t="shared" si="2"/>
        <v>California</v>
      </c>
      <c r="H19" t="str">
        <f t="shared" si="1"/>
        <v>Kings County</v>
      </c>
      <c r="I19">
        <f t="shared" si="1"/>
        <v>36</v>
      </c>
    </row>
    <row r="20" spans="1:9" x14ac:dyDescent="0.35">
      <c r="A20" t="s">
        <v>19</v>
      </c>
      <c r="B20" t="s">
        <v>949</v>
      </c>
      <c r="C20">
        <v>30</v>
      </c>
      <c r="G20" t="str">
        <f t="shared" si="2"/>
        <v>California</v>
      </c>
      <c r="H20" t="str">
        <f t="shared" ref="H20:H63" si="3">IF(B20="","",B20)</f>
        <v>Lake County</v>
      </c>
      <c r="I20">
        <f t="shared" ref="I20:I63" si="4">IF(C20="","",C20)</f>
        <v>30</v>
      </c>
    </row>
    <row r="21" spans="1:9" x14ac:dyDescent="0.35">
      <c r="A21" t="s">
        <v>19</v>
      </c>
      <c r="B21" t="s">
        <v>1426</v>
      </c>
      <c r="C21">
        <v>1</v>
      </c>
      <c r="G21" t="str">
        <f t="shared" si="2"/>
        <v>California</v>
      </c>
      <c r="H21" t="str">
        <f t="shared" si="3"/>
        <v>Lassen County</v>
      </c>
      <c r="I21">
        <f t="shared" si="4"/>
        <v>1</v>
      </c>
    </row>
    <row r="22" spans="1:9" x14ac:dyDescent="0.35">
      <c r="A22" t="s">
        <v>19</v>
      </c>
      <c r="B22" t="s">
        <v>33</v>
      </c>
      <c r="C22">
        <v>3991</v>
      </c>
      <c r="G22" t="str">
        <f t="shared" si="2"/>
        <v>California</v>
      </c>
      <c r="H22" t="str">
        <f t="shared" si="3"/>
        <v>Los Angeles County</v>
      </c>
      <c r="I22">
        <f t="shared" si="4"/>
        <v>3991</v>
      </c>
    </row>
    <row r="23" spans="1:9" x14ac:dyDescent="0.35">
      <c r="A23" t="s">
        <v>19</v>
      </c>
      <c r="B23" t="s">
        <v>364</v>
      </c>
      <c r="C23">
        <v>45</v>
      </c>
      <c r="G23" t="str">
        <f t="shared" si="2"/>
        <v>California</v>
      </c>
      <c r="H23" t="str">
        <f t="shared" si="3"/>
        <v>Madera County</v>
      </c>
      <c r="I23">
        <f t="shared" si="4"/>
        <v>45</v>
      </c>
    </row>
    <row r="24" spans="1:9" x14ac:dyDescent="0.35">
      <c r="A24" t="s">
        <v>19</v>
      </c>
      <c r="B24" t="s">
        <v>545</v>
      </c>
      <c r="C24">
        <v>39</v>
      </c>
      <c r="G24" t="str">
        <f t="shared" si="2"/>
        <v>California</v>
      </c>
      <c r="H24" t="str">
        <f t="shared" si="3"/>
        <v>Marin County</v>
      </c>
      <c r="I24">
        <f t="shared" si="4"/>
        <v>39</v>
      </c>
    </row>
    <row r="25" spans="1:9" x14ac:dyDescent="0.35">
      <c r="A25" t="s">
        <v>19</v>
      </c>
      <c r="B25" t="s">
        <v>416</v>
      </c>
      <c r="C25">
        <v>6</v>
      </c>
      <c r="G25" t="str">
        <f t="shared" si="2"/>
        <v>California</v>
      </c>
      <c r="H25" t="str">
        <f t="shared" si="3"/>
        <v>Mariposa County</v>
      </c>
      <c r="I25">
        <f t="shared" si="4"/>
        <v>6</v>
      </c>
    </row>
    <row r="26" spans="1:9" x14ac:dyDescent="0.35">
      <c r="A26" t="s">
        <v>19</v>
      </c>
      <c r="B26" t="s">
        <v>258</v>
      </c>
      <c r="C26">
        <v>9</v>
      </c>
      <c r="G26" t="str">
        <f t="shared" si="2"/>
        <v>California</v>
      </c>
      <c r="H26" t="str">
        <f t="shared" si="3"/>
        <v>Mendocino County</v>
      </c>
      <c r="I26">
        <f t="shared" si="4"/>
        <v>9</v>
      </c>
    </row>
    <row r="27" spans="1:9" x14ac:dyDescent="0.35">
      <c r="A27" t="s">
        <v>19</v>
      </c>
      <c r="B27" t="s">
        <v>186</v>
      </c>
      <c r="C27">
        <v>60</v>
      </c>
      <c r="G27" t="str">
        <f t="shared" si="2"/>
        <v>California</v>
      </c>
      <c r="H27" t="str">
        <f t="shared" si="3"/>
        <v>Merced County</v>
      </c>
      <c r="I27">
        <f t="shared" si="4"/>
        <v>60</v>
      </c>
    </row>
    <row r="28" spans="1:9" x14ac:dyDescent="0.35">
      <c r="A28" t="s">
        <v>19</v>
      </c>
      <c r="B28" t="s">
        <v>392</v>
      </c>
      <c r="C28">
        <v>2</v>
      </c>
      <c r="G28" t="str">
        <f t="shared" si="2"/>
        <v>California</v>
      </c>
      <c r="H28" t="str">
        <f t="shared" si="3"/>
        <v>Modoc County</v>
      </c>
      <c r="I28">
        <f t="shared" si="4"/>
        <v>2</v>
      </c>
    </row>
    <row r="29" spans="1:9" x14ac:dyDescent="0.35">
      <c r="A29" t="s">
        <v>19</v>
      </c>
      <c r="B29" t="s">
        <v>670</v>
      </c>
      <c r="C29">
        <v>4</v>
      </c>
      <c r="G29" t="str">
        <f t="shared" si="2"/>
        <v>California</v>
      </c>
      <c r="H29" t="str">
        <f t="shared" si="3"/>
        <v>Mono County</v>
      </c>
      <c r="I29">
        <f t="shared" si="4"/>
        <v>4</v>
      </c>
    </row>
    <row r="30" spans="1:9" x14ac:dyDescent="0.35">
      <c r="A30" t="s">
        <v>19</v>
      </c>
      <c r="B30" t="s">
        <v>802</v>
      </c>
      <c r="C30">
        <v>31</v>
      </c>
      <c r="G30" t="str">
        <f t="shared" si="2"/>
        <v>California</v>
      </c>
      <c r="H30" t="str">
        <f t="shared" si="3"/>
        <v>Monterey County</v>
      </c>
      <c r="I30">
        <f t="shared" si="4"/>
        <v>31</v>
      </c>
    </row>
    <row r="31" spans="1:9" x14ac:dyDescent="0.35">
      <c r="A31" t="s">
        <v>19</v>
      </c>
      <c r="B31" t="s">
        <v>98</v>
      </c>
      <c r="C31">
        <v>88</v>
      </c>
      <c r="G31" t="str">
        <f t="shared" si="2"/>
        <v>California</v>
      </c>
      <c r="H31" t="str">
        <f t="shared" si="3"/>
        <v>Napa County</v>
      </c>
      <c r="I31">
        <f t="shared" si="4"/>
        <v>88</v>
      </c>
    </row>
    <row r="32" spans="1:9" x14ac:dyDescent="0.35">
      <c r="A32" t="s">
        <v>19</v>
      </c>
      <c r="B32" t="s">
        <v>49</v>
      </c>
      <c r="C32">
        <v>25</v>
      </c>
      <c r="G32" t="str">
        <f t="shared" si="2"/>
        <v>California</v>
      </c>
      <c r="H32" t="str">
        <f t="shared" si="3"/>
        <v>Nevada County</v>
      </c>
      <c r="I32">
        <f t="shared" si="4"/>
        <v>25</v>
      </c>
    </row>
    <row r="33" spans="1:9" x14ac:dyDescent="0.35">
      <c r="A33" t="s">
        <v>19</v>
      </c>
      <c r="B33" t="s">
        <v>188</v>
      </c>
      <c r="C33">
        <v>178</v>
      </c>
      <c r="G33" t="str">
        <f t="shared" si="2"/>
        <v>California</v>
      </c>
      <c r="H33" t="str">
        <f t="shared" si="3"/>
        <v>Orange County</v>
      </c>
      <c r="I33">
        <f t="shared" si="4"/>
        <v>178</v>
      </c>
    </row>
    <row r="34" spans="1:9" x14ac:dyDescent="0.35">
      <c r="A34" t="s">
        <v>19</v>
      </c>
      <c r="B34" t="s">
        <v>52</v>
      </c>
      <c r="C34">
        <v>141</v>
      </c>
      <c r="G34" t="str">
        <f t="shared" si="2"/>
        <v>California</v>
      </c>
      <c r="H34" t="str">
        <f t="shared" si="3"/>
        <v>Placer County</v>
      </c>
      <c r="I34">
        <f t="shared" si="4"/>
        <v>141</v>
      </c>
    </row>
    <row r="35" spans="1:9" x14ac:dyDescent="0.35">
      <c r="A35" t="s">
        <v>19</v>
      </c>
      <c r="B35" t="s">
        <v>338</v>
      </c>
      <c r="C35">
        <v>6</v>
      </c>
      <c r="G35" t="str">
        <f t="shared" si="2"/>
        <v>California</v>
      </c>
      <c r="H35" t="str">
        <f t="shared" si="3"/>
        <v>Plumas County</v>
      </c>
      <c r="I35">
        <f t="shared" si="4"/>
        <v>6</v>
      </c>
    </row>
    <row r="36" spans="1:9" x14ac:dyDescent="0.35">
      <c r="A36" t="s">
        <v>19</v>
      </c>
      <c r="B36" t="s">
        <v>158</v>
      </c>
      <c r="C36">
        <v>178</v>
      </c>
      <c r="G36" t="str">
        <f t="shared" si="2"/>
        <v>California</v>
      </c>
      <c r="H36" t="str">
        <f t="shared" si="3"/>
        <v>Riverside County</v>
      </c>
      <c r="I36">
        <f t="shared" si="4"/>
        <v>178</v>
      </c>
    </row>
    <row r="37" spans="1:9" x14ac:dyDescent="0.35">
      <c r="A37" t="s">
        <v>19</v>
      </c>
      <c r="B37" t="s">
        <v>55</v>
      </c>
      <c r="C37">
        <v>699</v>
      </c>
      <c r="G37" t="str">
        <f t="shared" si="2"/>
        <v>California</v>
      </c>
      <c r="H37" t="str">
        <f t="shared" si="3"/>
        <v>Sacramento County</v>
      </c>
      <c r="I37">
        <f t="shared" si="4"/>
        <v>699</v>
      </c>
    </row>
    <row r="38" spans="1:9" x14ac:dyDescent="0.35">
      <c r="A38" t="s">
        <v>19</v>
      </c>
      <c r="B38" t="s">
        <v>342</v>
      </c>
      <c r="C38">
        <v>23</v>
      </c>
      <c r="G38" t="str">
        <f t="shared" si="2"/>
        <v>California</v>
      </c>
      <c r="H38" t="str">
        <f t="shared" si="3"/>
        <v>San Benito County</v>
      </c>
      <c r="I38">
        <f t="shared" si="4"/>
        <v>23</v>
      </c>
    </row>
    <row r="39" spans="1:9" x14ac:dyDescent="0.35">
      <c r="A39" t="s">
        <v>19</v>
      </c>
      <c r="B39" t="s">
        <v>59</v>
      </c>
      <c r="C39">
        <v>356</v>
      </c>
      <c r="G39" t="str">
        <f t="shared" si="2"/>
        <v>California</v>
      </c>
      <c r="H39" t="str">
        <f t="shared" si="3"/>
        <v>San Bernardino County</v>
      </c>
      <c r="I39">
        <f t="shared" si="4"/>
        <v>356</v>
      </c>
    </row>
    <row r="40" spans="1:9" x14ac:dyDescent="0.35">
      <c r="A40" t="s">
        <v>19</v>
      </c>
      <c r="B40" t="s">
        <v>62</v>
      </c>
      <c r="C40">
        <v>1768</v>
      </c>
      <c r="G40" t="str">
        <f t="shared" si="2"/>
        <v>California</v>
      </c>
      <c r="H40" t="str">
        <f t="shared" si="3"/>
        <v>San Diego County</v>
      </c>
      <c r="I40">
        <f t="shared" si="4"/>
        <v>1768</v>
      </c>
    </row>
    <row r="41" spans="1:9" x14ac:dyDescent="0.35">
      <c r="A41" t="s">
        <v>19</v>
      </c>
      <c r="B41" t="s">
        <v>103</v>
      </c>
      <c r="C41">
        <v>307</v>
      </c>
      <c r="G41" t="str">
        <f t="shared" si="2"/>
        <v>California</v>
      </c>
      <c r="H41" t="str">
        <f t="shared" si="3"/>
        <v>San Francisco</v>
      </c>
      <c r="I41">
        <f t="shared" si="4"/>
        <v>307</v>
      </c>
    </row>
    <row r="42" spans="1:9" x14ac:dyDescent="0.35">
      <c r="A42" t="s">
        <v>19</v>
      </c>
      <c r="B42" t="s">
        <v>201</v>
      </c>
      <c r="C42">
        <v>117</v>
      </c>
      <c r="G42" t="str">
        <f t="shared" si="2"/>
        <v>California</v>
      </c>
      <c r="H42" t="str">
        <f t="shared" si="3"/>
        <v>San Joaquin County</v>
      </c>
      <c r="I42">
        <f t="shared" si="4"/>
        <v>117</v>
      </c>
    </row>
    <row r="43" spans="1:9" x14ac:dyDescent="0.35">
      <c r="A43" t="s">
        <v>19</v>
      </c>
      <c r="B43" t="s">
        <v>429</v>
      </c>
      <c r="C43">
        <v>13</v>
      </c>
      <c r="G43" t="str">
        <f t="shared" si="2"/>
        <v>California</v>
      </c>
      <c r="H43" t="str">
        <f t="shared" si="3"/>
        <v>San Luis Obispo County</v>
      </c>
      <c r="I43">
        <f t="shared" si="4"/>
        <v>13</v>
      </c>
    </row>
    <row r="44" spans="1:9" x14ac:dyDescent="0.35">
      <c r="A44" t="s">
        <v>19</v>
      </c>
      <c r="B44" t="s">
        <v>72</v>
      </c>
      <c r="C44">
        <v>364</v>
      </c>
      <c r="G44" t="str">
        <f t="shared" si="2"/>
        <v>California</v>
      </c>
      <c r="H44" t="str">
        <f t="shared" si="3"/>
        <v>San Mateo County</v>
      </c>
      <c r="I44">
        <f t="shared" si="4"/>
        <v>364</v>
      </c>
    </row>
    <row r="45" spans="1:9" x14ac:dyDescent="0.35">
      <c r="A45" t="s">
        <v>19</v>
      </c>
      <c r="B45" t="s">
        <v>74</v>
      </c>
      <c r="C45">
        <v>95</v>
      </c>
      <c r="G45" t="str">
        <f t="shared" si="2"/>
        <v>California</v>
      </c>
      <c r="H45" t="str">
        <f t="shared" si="3"/>
        <v>Santa Barbara County</v>
      </c>
      <c r="I45">
        <f t="shared" si="4"/>
        <v>95</v>
      </c>
    </row>
    <row r="46" spans="1:9" x14ac:dyDescent="0.35">
      <c r="A46" t="s">
        <v>19</v>
      </c>
      <c r="B46" t="s">
        <v>77</v>
      </c>
      <c r="C46">
        <v>737</v>
      </c>
      <c r="G46" t="str">
        <f t="shared" si="2"/>
        <v>California</v>
      </c>
      <c r="H46" t="str">
        <f t="shared" si="3"/>
        <v>Santa Clara County</v>
      </c>
      <c r="I46">
        <f t="shared" si="4"/>
        <v>737</v>
      </c>
    </row>
    <row r="47" spans="1:9" x14ac:dyDescent="0.35">
      <c r="A47" t="s">
        <v>19</v>
      </c>
      <c r="B47" t="s">
        <v>309</v>
      </c>
      <c r="C47">
        <v>39</v>
      </c>
      <c r="G47" t="str">
        <f t="shared" si="2"/>
        <v>California</v>
      </c>
      <c r="H47" t="str">
        <f t="shared" si="3"/>
        <v>Santa Cruz County</v>
      </c>
      <c r="I47">
        <f t="shared" si="4"/>
        <v>39</v>
      </c>
    </row>
    <row r="48" spans="1:9" x14ac:dyDescent="0.35">
      <c r="A48" t="s">
        <v>19</v>
      </c>
      <c r="B48" t="s">
        <v>1116</v>
      </c>
      <c r="C48">
        <v>56</v>
      </c>
      <c r="G48" t="str">
        <f t="shared" si="2"/>
        <v>California</v>
      </c>
      <c r="H48" t="str">
        <f t="shared" si="3"/>
        <v>Shasta County</v>
      </c>
      <c r="I48">
        <f t="shared" si="4"/>
        <v>56</v>
      </c>
    </row>
    <row r="49" spans="1:9" x14ac:dyDescent="0.35">
      <c r="A49" t="s">
        <v>19</v>
      </c>
      <c r="B49" t="s">
        <v>700</v>
      </c>
      <c r="C49">
        <v>2</v>
      </c>
      <c r="G49" t="str">
        <f t="shared" si="2"/>
        <v>California</v>
      </c>
      <c r="H49" t="str">
        <f t="shared" si="3"/>
        <v>Sierra County</v>
      </c>
      <c r="I49">
        <f t="shared" si="4"/>
        <v>2</v>
      </c>
    </row>
    <row r="50" spans="1:9" x14ac:dyDescent="0.35">
      <c r="A50" t="s">
        <v>19</v>
      </c>
      <c r="B50" t="s">
        <v>268</v>
      </c>
      <c r="C50">
        <v>8</v>
      </c>
      <c r="G50" t="str">
        <f t="shared" si="2"/>
        <v>California</v>
      </c>
      <c r="H50" t="str">
        <f t="shared" si="3"/>
        <v>Siskiyou County</v>
      </c>
      <c r="I50">
        <f t="shared" si="4"/>
        <v>8</v>
      </c>
    </row>
    <row r="51" spans="1:9" x14ac:dyDescent="0.35">
      <c r="A51" t="s">
        <v>19</v>
      </c>
      <c r="B51" t="s">
        <v>377</v>
      </c>
      <c r="C51">
        <v>52</v>
      </c>
      <c r="G51" t="str">
        <f t="shared" si="2"/>
        <v>California</v>
      </c>
      <c r="H51" t="str">
        <f t="shared" si="3"/>
        <v>Solano County</v>
      </c>
      <c r="I51">
        <f t="shared" si="4"/>
        <v>52</v>
      </c>
    </row>
    <row r="52" spans="1:9" x14ac:dyDescent="0.35">
      <c r="A52" t="s">
        <v>19</v>
      </c>
      <c r="B52" t="s">
        <v>108</v>
      </c>
      <c r="C52">
        <v>295</v>
      </c>
      <c r="G52" t="str">
        <f t="shared" si="2"/>
        <v>California</v>
      </c>
      <c r="H52" t="str">
        <f t="shared" si="3"/>
        <v>Sonoma County</v>
      </c>
      <c r="I52">
        <f t="shared" si="4"/>
        <v>295</v>
      </c>
    </row>
    <row r="53" spans="1:9" x14ac:dyDescent="0.35">
      <c r="A53" t="s">
        <v>19</v>
      </c>
      <c r="B53" t="s">
        <v>110</v>
      </c>
      <c r="C53">
        <v>195</v>
      </c>
      <c r="G53" t="str">
        <f t="shared" si="2"/>
        <v>California</v>
      </c>
      <c r="H53" t="str">
        <f t="shared" si="3"/>
        <v>Stanislaus County</v>
      </c>
      <c r="I53">
        <f t="shared" si="4"/>
        <v>195</v>
      </c>
    </row>
    <row r="54" spans="1:9" x14ac:dyDescent="0.35">
      <c r="A54" t="s">
        <v>19</v>
      </c>
      <c r="B54" t="s">
        <v>292</v>
      </c>
      <c r="C54">
        <v>20</v>
      </c>
      <c r="G54" t="str">
        <f t="shared" si="2"/>
        <v>California</v>
      </c>
      <c r="H54" t="str">
        <f t="shared" si="3"/>
        <v>Sutter County</v>
      </c>
      <c r="I54">
        <f t="shared" si="4"/>
        <v>20</v>
      </c>
    </row>
    <row r="55" spans="1:9" x14ac:dyDescent="0.35">
      <c r="A55" t="s">
        <v>19</v>
      </c>
      <c r="B55" t="s">
        <v>79</v>
      </c>
      <c r="C55">
        <v>6</v>
      </c>
      <c r="G55" t="str">
        <f t="shared" si="2"/>
        <v>California</v>
      </c>
      <c r="H55" t="str">
        <f t="shared" si="3"/>
        <v>Tehama County</v>
      </c>
      <c r="I55">
        <f t="shared" si="4"/>
        <v>6</v>
      </c>
    </row>
    <row r="56" spans="1:9" x14ac:dyDescent="0.35">
      <c r="A56" t="s">
        <v>19</v>
      </c>
      <c r="B56" t="s">
        <v>608</v>
      </c>
      <c r="C56">
        <v>5</v>
      </c>
      <c r="G56" t="str">
        <f t="shared" si="2"/>
        <v>California</v>
      </c>
      <c r="H56" t="str">
        <f t="shared" si="3"/>
        <v>Trinity County</v>
      </c>
      <c r="I56">
        <f t="shared" si="4"/>
        <v>5</v>
      </c>
    </row>
    <row r="57" spans="1:9" x14ac:dyDescent="0.35">
      <c r="A57" t="s">
        <v>19</v>
      </c>
      <c r="B57" t="s">
        <v>113</v>
      </c>
      <c r="C57">
        <v>94</v>
      </c>
      <c r="G57" t="str">
        <f t="shared" si="2"/>
        <v>California</v>
      </c>
      <c r="H57" t="str">
        <f t="shared" si="3"/>
        <v>Tulare County</v>
      </c>
      <c r="I57">
        <f t="shared" si="4"/>
        <v>94</v>
      </c>
    </row>
    <row r="58" spans="1:9" x14ac:dyDescent="0.35">
      <c r="A58" t="s">
        <v>19</v>
      </c>
      <c r="B58" t="s">
        <v>997</v>
      </c>
      <c r="C58">
        <v>28</v>
      </c>
      <c r="G58" t="str">
        <f t="shared" si="2"/>
        <v>California</v>
      </c>
      <c r="H58" t="str">
        <f t="shared" si="3"/>
        <v>Tuolumne County</v>
      </c>
      <c r="I58">
        <f t="shared" si="4"/>
        <v>28</v>
      </c>
    </row>
    <row r="59" spans="1:9" x14ac:dyDescent="0.35">
      <c r="A59" t="s">
        <v>19</v>
      </c>
      <c r="B59" t="s">
        <v>82</v>
      </c>
      <c r="C59">
        <v>179</v>
      </c>
      <c r="G59" t="str">
        <f t="shared" si="2"/>
        <v>California</v>
      </c>
      <c r="H59" t="str">
        <f t="shared" si="3"/>
        <v>Ventura County</v>
      </c>
      <c r="I59">
        <f t="shared" si="4"/>
        <v>179</v>
      </c>
    </row>
    <row r="60" spans="1:9" x14ac:dyDescent="0.35">
      <c r="A60" t="s">
        <v>19</v>
      </c>
      <c r="B60" t="s">
        <v>243</v>
      </c>
      <c r="C60">
        <v>15</v>
      </c>
      <c r="G60" t="str">
        <f t="shared" si="2"/>
        <v>California</v>
      </c>
      <c r="H60" t="str">
        <f t="shared" si="3"/>
        <v>Yolo County</v>
      </c>
      <c r="I60">
        <f t="shared" si="4"/>
        <v>15</v>
      </c>
    </row>
    <row r="61" spans="1:9" x14ac:dyDescent="0.35">
      <c r="A61" t="s">
        <v>19</v>
      </c>
      <c r="B61" t="s">
        <v>1911</v>
      </c>
      <c r="C61">
        <v>3</v>
      </c>
      <c r="G61" t="str">
        <f t="shared" si="2"/>
        <v>California</v>
      </c>
      <c r="H61" t="str">
        <f t="shared" si="3"/>
        <v>Yuba County</v>
      </c>
      <c r="I61">
        <f t="shared" si="4"/>
        <v>3</v>
      </c>
    </row>
    <row r="62" spans="1:9" x14ac:dyDescent="0.35">
      <c r="A62" t="s">
        <v>2537</v>
      </c>
      <c r="C62">
        <v>11997</v>
      </c>
      <c r="G62" t="str">
        <f t="shared" si="2"/>
        <v>California Total</v>
      </c>
      <c r="H62" t="str">
        <f t="shared" si="3"/>
        <v/>
      </c>
      <c r="I62">
        <f t="shared" si="4"/>
        <v>11997</v>
      </c>
    </row>
    <row r="63" spans="1:9" x14ac:dyDescent="0.35">
      <c r="A63" t="s">
        <v>2528</v>
      </c>
      <c r="C63">
        <v>11997</v>
      </c>
      <c r="G63" t="str">
        <f t="shared" si="2"/>
        <v>Grand Total</v>
      </c>
      <c r="H63" t="str">
        <f t="shared" si="3"/>
        <v/>
      </c>
      <c r="I63">
        <f t="shared" si="4"/>
        <v>11997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D5CFD-172A-4290-B2C6-AF2B2065D74A}">
  <dimension ref="A3:I64"/>
  <sheetViews>
    <sheetView workbookViewId="0">
      <selection activeCell="M13" sqref="M13"/>
    </sheetView>
  </sheetViews>
  <sheetFormatPr defaultRowHeight="14.5" x14ac:dyDescent="0.35"/>
  <cols>
    <col min="1" max="1" width="23.1796875" bestFit="1" customWidth="1"/>
    <col min="2" max="2" width="19.81640625" bestFit="1" customWidth="1"/>
    <col min="3" max="3" width="13.6328125" bestFit="1" customWidth="1"/>
  </cols>
  <sheetData>
    <row r="3" spans="1:9" x14ac:dyDescent="0.35">
      <c r="A3" s="6" t="s">
        <v>10</v>
      </c>
      <c r="B3" s="6" t="s">
        <v>11</v>
      </c>
      <c r="C3" t="s">
        <v>2520</v>
      </c>
      <c r="G3" t="str">
        <f>A3</f>
        <v>State</v>
      </c>
      <c r="H3" t="str">
        <f t="shared" ref="H3:I3" si="0">B3</f>
        <v>County</v>
      </c>
      <c r="I3" t="str">
        <f t="shared" si="0"/>
        <v>Sum of Amount</v>
      </c>
    </row>
    <row r="4" spans="1:9" x14ac:dyDescent="0.35">
      <c r="A4" t="s">
        <v>19</v>
      </c>
      <c r="B4" t="s">
        <v>115</v>
      </c>
      <c r="C4">
        <v>31884.999999999996</v>
      </c>
      <c r="G4" t="str">
        <f>IF(A4="","",A4)</f>
        <v>California</v>
      </c>
      <c r="H4" t="str">
        <f t="shared" ref="H4:I19" si="1">IF(B4="","",B4)</f>
        <v>Alameda County</v>
      </c>
      <c r="I4">
        <f t="shared" si="1"/>
        <v>31884.999999999996</v>
      </c>
    </row>
    <row r="5" spans="1:9" x14ac:dyDescent="0.35">
      <c r="A5" t="s">
        <v>19</v>
      </c>
      <c r="B5" t="s">
        <v>20</v>
      </c>
      <c r="C5">
        <v>10.9</v>
      </c>
      <c r="G5" t="str">
        <f t="shared" ref="G5:G64" si="2">IF(A5="","",A5)</f>
        <v>California</v>
      </c>
      <c r="H5" t="str">
        <f t="shared" si="1"/>
        <v>Alpine County</v>
      </c>
      <c r="I5">
        <f t="shared" si="1"/>
        <v>10.9</v>
      </c>
    </row>
    <row r="6" spans="1:9" x14ac:dyDescent="0.35">
      <c r="A6" t="s">
        <v>19</v>
      </c>
      <c r="B6" t="s">
        <v>641</v>
      </c>
      <c r="C6">
        <v>800.3</v>
      </c>
      <c r="G6" t="str">
        <f t="shared" si="2"/>
        <v>California</v>
      </c>
      <c r="H6" t="str">
        <f t="shared" si="1"/>
        <v>Amador County</v>
      </c>
      <c r="I6">
        <f t="shared" si="1"/>
        <v>800.3</v>
      </c>
    </row>
    <row r="7" spans="1:9" x14ac:dyDescent="0.35">
      <c r="A7" t="s">
        <v>19</v>
      </c>
      <c r="B7" t="s">
        <v>967</v>
      </c>
      <c r="C7">
        <v>1062.5999999999999</v>
      </c>
      <c r="G7" t="str">
        <f t="shared" si="2"/>
        <v>California</v>
      </c>
      <c r="H7" t="str">
        <f t="shared" si="1"/>
        <v>Butte County</v>
      </c>
      <c r="I7">
        <f t="shared" si="1"/>
        <v>1062.5999999999999</v>
      </c>
    </row>
    <row r="8" spans="1:9" x14ac:dyDescent="0.35">
      <c r="A8" t="s">
        <v>19</v>
      </c>
      <c r="B8" t="s">
        <v>84</v>
      </c>
      <c r="C8">
        <v>326.20000000000005</v>
      </c>
      <c r="G8" t="str">
        <f t="shared" si="2"/>
        <v>California</v>
      </c>
      <c r="H8" t="str">
        <f t="shared" si="1"/>
        <v>Calaveras County</v>
      </c>
      <c r="I8">
        <f t="shared" si="1"/>
        <v>326.20000000000005</v>
      </c>
    </row>
    <row r="9" spans="1:9" x14ac:dyDescent="0.35">
      <c r="A9" t="s">
        <v>19</v>
      </c>
      <c r="B9" t="s">
        <v>1383</v>
      </c>
      <c r="C9">
        <v>167.5</v>
      </c>
      <c r="G9" t="str">
        <f t="shared" si="2"/>
        <v>California</v>
      </c>
      <c r="H9" t="str">
        <f t="shared" si="1"/>
        <v>Colusa County</v>
      </c>
      <c r="I9">
        <f t="shared" si="1"/>
        <v>167.5</v>
      </c>
    </row>
    <row r="10" spans="1:9" x14ac:dyDescent="0.35">
      <c r="A10" t="s">
        <v>19</v>
      </c>
      <c r="B10" t="s">
        <v>24</v>
      </c>
      <c r="C10">
        <v>16168.7</v>
      </c>
      <c r="G10" t="str">
        <f t="shared" si="2"/>
        <v>California</v>
      </c>
      <c r="H10" t="str">
        <f t="shared" si="1"/>
        <v>Contra Costa County</v>
      </c>
      <c r="I10">
        <f t="shared" si="1"/>
        <v>16168.7</v>
      </c>
    </row>
    <row r="11" spans="1:9" x14ac:dyDescent="0.35">
      <c r="A11" t="s">
        <v>19</v>
      </c>
      <c r="B11" t="s">
        <v>2204</v>
      </c>
      <c r="C11">
        <v>322.40000000000003</v>
      </c>
      <c r="G11" t="str">
        <f t="shared" si="2"/>
        <v>California</v>
      </c>
      <c r="H11" t="str">
        <f t="shared" si="1"/>
        <v>Del Norte County</v>
      </c>
      <c r="I11">
        <f t="shared" si="1"/>
        <v>322.40000000000003</v>
      </c>
    </row>
    <row r="12" spans="1:9" x14ac:dyDescent="0.35">
      <c r="A12" t="s">
        <v>19</v>
      </c>
      <c r="B12" t="s">
        <v>437</v>
      </c>
      <c r="C12">
        <v>2092.8000000000002</v>
      </c>
      <c r="G12" t="str">
        <f t="shared" si="2"/>
        <v>California</v>
      </c>
      <c r="H12" t="str">
        <f t="shared" si="1"/>
        <v>El Dorado County</v>
      </c>
      <c r="I12">
        <f t="shared" si="1"/>
        <v>2092.8000000000002</v>
      </c>
    </row>
    <row r="13" spans="1:9" x14ac:dyDescent="0.35">
      <c r="A13" t="s">
        <v>19</v>
      </c>
      <c r="B13" t="s">
        <v>28</v>
      </c>
      <c r="C13">
        <v>12662.500000000002</v>
      </c>
      <c r="G13" t="str">
        <f t="shared" si="2"/>
        <v>California</v>
      </c>
      <c r="H13" t="str">
        <f t="shared" si="1"/>
        <v>Fresno County</v>
      </c>
      <c r="I13">
        <f t="shared" si="1"/>
        <v>12662.500000000002</v>
      </c>
    </row>
    <row r="14" spans="1:9" x14ac:dyDescent="0.35">
      <c r="A14" t="s">
        <v>19</v>
      </c>
      <c r="B14" t="s">
        <v>208</v>
      </c>
      <c r="C14">
        <v>343.2</v>
      </c>
      <c r="G14" t="str">
        <f t="shared" si="2"/>
        <v>California</v>
      </c>
      <c r="H14" t="str">
        <f t="shared" si="1"/>
        <v>Glenn County</v>
      </c>
      <c r="I14">
        <f t="shared" si="1"/>
        <v>343.2</v>
      </c>
    </row>
    <row r="15" spans="1:9" x14ac:dyDescent="0.35">
      <c r="A15" t="s">
        <v>19</v>
      </c>
      <c r="B15" t="s">
        <v>587</v>
      </c>
      <c r="C15">
        <v>2188.2999999999997</v>
      </c>
      <c r="G15" t="str">
        <f t="shared" si="2"/>
        <v>California</v>
      </c>
      <c r="H15" t="str">
        <f t="shared" si="1"/>
        <v>Humboldt County</v>
      </c>
      <c r="I15">
        <f t="shared" si="1"/>
        <v>2188.2999999999997</v>
      </c>
    </row>
    <row r="16" spans="1:9" x14ac:dyDescent="0.35">
      <c r="A16" t="s">
        <v>19</v>
      </c>
      <c r="B16" t="s">
        <v>331</v>
      </c>
      <c r="C16">
        <v>2661.5999999999995</v>
      </c>
      <c r="G16" t="str">
        <f t="shared" si="2"/>
        <v>California</v>
      </c>
      <c r="H16" t="str">
        <f t="shared" si="1"/>
        <v>Imperial County</v>
      </c>
      <c r="I16">
        <f t="shared" si="1"/>
        <v>2661.5999999999995</v>
      </c>
    </row>
    <row r="17" spans="1:9" x14ac:dyDescent="0.35">
      <c r="A17" t="s">
        <v>19</v>
      </c>
      <c r="B17" t="s">
        <v>86</v>
      </c>
      <c r="C17">
        <v>887.5</v>
      </c>
      <c r="G17" t="str">
        <f t="shared" si="2"/>
        <v>California</v>
      </c>
      <c r="H17" t="str">
        <f t="shared" si="1"/>
        <v>Inyo County</v>
      </c>
      <c r="I17">
        <f t="shared" si="1"/>
        <v>887.5</v>
      </c>
    </row>
    <row r="18" spans="1:9" x14ac:dyDescent="0.35">
      <c r="A18" t="s">
        <v>19</v>
      </c>
      <c r="B18" t="s">
        <v>147</v>
      </c>
      <c r="C18">
        <v>11354.199999999993</v>
      </c>
      <c r="G18" t="str">
        <f t="shared" si="2"/>
        <v>California</v>
      </c>
      <c r="H18" t="str">
        <f t="shared" si="1"/>
        <v>Kern County</v>
      </c>
      <c r="I18">
        <f t="shared" si="1"/>
        <v>11354.199999999993</v>
      </c>
    </row>
    <row r="19" spans="1:9" x14ac:dyDescent="0.35">
      <c r="A19" t="s">
        <v>19</v>
      </c>
      <c r="B19" t="s">
        <v>334</v>
      </c>
      <c r="C19">
        <v>1558.4</v>
      </c>
      <c r="G19" t="str">
        <f t="shared" si="2"/>
        <v>California</v>
      </c>
      <c r="H19" t="str">
        <f t="shared" si="1"/>
        <v>Kings County</v>
      </c>
      <c r="I19">
        <f t="shared" si="1"/>
        <v>1558.4</v>
      </c>
    </row>
    <row r="20" spans="1:9" x14ac:dyDescent="0.35">
      <c r="A20" t="s">
        <v>19</v>
      </c>
      <c r="B20" t="s">
        <v>949</v>
      </c>
      <c r="C20">
        <v>2223.9</v>
      </c>
      <c r="G20" t="str">
        <f t="shared" si="2"/>
        <v>California</v>
      </c>
      <c r="H20" t="str">
        <f t="shared" ref="H20:H64" si="3">IF(B20="","",B20)</f>
        <v>Lake County</v>
      </c>
      <c r="I20">
        <f t="shared" ref="I20:I64" si="4">IF(C20="","",C20)</f>
        <v>2223.9</v>
      </c>
    </row>
    <row r="21" spans="1:9" x14ac:dyDescent="0.35">
      <c r="A21" t="s">
        <v>19</v>
      </c>
      <c r="B21" t="s">
        <v>1426</v>
      </c>
      <c r="C21">
        <v>26.2</v>
      </c>
      <c r="G21" t="str">
        <f t="shared" si="2"/>
        <v>California</v>
      </c>
      <c r="H21" t="str">
        <f t="shared" si="3"/>
        <v>Lassen County</v>
      </c>
      <c r="I21">
        <f t="shared" si="4"/>
        <v>26.2</v>
      </c>
    </row>
    <row r="22" spans="1:9" x14ac:dyDescent="0.35">
      <c r="A22" t="s">
        <v>19</v>
      </c>
      <c r="B22" t="s">
        <v>33</v>
      </c>
      <c r="C22">
        <v>215551.19999999981</v>
      </c>
      <c r="G22" t="str">
        <f t="shared" si="2"/>
        <v>California</v>
      </c>
      <c r="H22" t="str">
        <f t="shared" si="3"/>
        <v>Los Angeles County</v>
      </c>
      <c r="I22">
        <f t="shared" si="4"/>
        <v>215551.19999999981</v>
      </c>
    </row>
    <row r="23" spans="1:9" x14ac:dyDescent="0.35">
      <c r="A23" t="s">
        <v>19</v>
      </c>
      <c r="B23" t="s">
        <v>364</v>
      </c>
      <c r="C23">
        <v>2687.3999999999996</v>
      </c>
      <c r="G23" t="str">
        <f t="shared" si="2"/>
        <v>California</v>
      </c>
      <c r="H23" t="str">
        <f t="shared" si="3"/>
        <v>Madera County</v>
      </c>
      <c r="I23">
        <f t="shared" si="4"/>
        <v>2687.3999999999996</v>
      </c>
    </row>
    <row r="24" spans="1:9" x14ac:dyDescent="0.35">
      <c r="A24" t="s">
        <v>19</v>
      </c>
      <c r="B24" t="s">
        <v>545</v>
      </c>
      <c r="C24">
        <v>1463.3000000000002</v>
      </c>
      <c r="G24" t="str">
        <f t="shared" si="2"/>
        <v>California</v>
      </c>
      <c r="H24" t="str">
        <f t="shared" si="3"/>
        <v>Marin County</v>
      </c>
      <c r="I24">
        <f t="shared" si="4"/>
        <v>1463.3000000000002</v>
      </c>
    </row>
    <row r="25" spans="1:9" x14ac:dyDescent="0.35">
      <c r="A25" t="s">
        <v>19</v>
      </c>
      <c r="B25" t="s">
        <v>416</v>
      </c>
      <c r="C25">
        <v>445.79999999999995</v>
      </c>
      <c r="G25" t="str">
        <f t="shared" si="2"/>
        <v>California</v>
      </c>
      <c r="H25" t="str">
        <f t="shared" si="3"/>
        <v>Mariposa County</v>
      </c>
      <c r="I25">
        <f t="shared" si="4"/>
        <v>445.79999999999995</v>
      </c>
    </row>
    <row r="26" spans="1:9" x14ac:dyDescent="0.35">
      <c r="A26" t="s">
        <v>19</v>
      </c>
      <c r="B26" t="s">
        <v>258</v>
      </c>
      <c r="C26">
        <v>273.59999999999997</v>
      </c>
      <c r="G26" t="str">
        <f t="shared" si="2"/>
        <v>California</v>
      </c>
      <c r="H26" t="str">
        <f t="shared" si="3"/>
        <v>Mendocino County</v>
      </c>
      <c r="I26">
        <f t="shared" si="4"/>
        <v>273.59999999999997</v>
      </c>
    </row>
    <row r="27" spans="1:9" x14ac:dyDescent="0.35">
      <c r="A27" t="s">
        <v>19</v>
      </c>
      <c r="B27" t="s">
        <v>186</v>
      </c>
      <c r="C27">
        <v>2690.4</v>
      </c>
      <c r="G27" t="str">
        <f t="shared" si="2"/>
        <v>California</v>
      </c>
      <c r="H27" t="str">
        <f t="shared" si="3"/>
        <v>Merced County</v>
      </c>
      <c r="I27">
        <f t="shared" si="4"/>
        <v>2690.4</v>
      </c>
    </row>
    <row r="28" spans="1:9" x14ac:dyDescent="0.35">
      <c r="A28" t="s">
        <v>19</v>
      </c>
      <c r="B28" t="s">
        <v>392</v>
      </c>
      <c r="C28">
        <v>28.4</v>
      </c>
      <c r="G28" t="str">
        <f t="shared" si="2"/>
        <v>California</v>
      </c>
      <c r="H28" t="str">
        <f t="shared" si="3"/>
        <v>Modoc County</v>
      </c>
      <c r="I28">
        <f t="shared" si="4"/>
        <v>28.4</v>
      </c>
    </row>
    <row r="29" spans="1:9" x14ac:dyDescent="0.35">
      <c r="A29" t="s">
        <v>19</v>
      </c>
      <c r="B29" t="s">
        <v>670</v>
      </c>
      <c r="C29">
        <v>204.8</v>
      </c>
      <c r="G29" t="str">
        <f t="shared" si="2"/>
        <v>California</v>
      </c>
      <c r="H29" t="str">
        <f t="shared" si="3"/>
        <v>Mono County</v>
      </c>
      <c r="I29">
        <f t="shared" si="4"/>
        <v>204.8</v>
      </c>
    </row>
    <row r="30" spans="1:9" x14ac:dyDescent="0.35">
      <c r="A30" t="s">
        <v>19</v>
      </c>
      <c r="B30" t="s">
        <v>802</v>
      </c>
      <c r="C30">
        <v>1607.8999999999999</v>
      </c>
      <c r="G30" t="str">
        <f t="shared" si="2"/>
        <v>California</v>
      </c>
      <c r="H30" t="str">
        <f t="shared" si="3"/>
        <v>Monterey County</v>
      </c>
      <c r="I30">
        <f t="shared" si="4"/>
        <v>1607.8999999999999</v>
      </c>
    </row>
    <row r="31" spans="1:9" x14ac:dyDescent="0.35">
      <c r="A31" t="s">
        <v>19</v>
      </c>
      <c r="B31" t="s">
        <v>98</v>
      </c>
      <c r="C31">
        <v>6444.9</v>
      </c>
      <c r="G31" t="str">
        <f t="shared" si="2"/>
        <v>California</v>
      </c>
      <c r="H31" t="str">
        <f t="shared" si="3"/>
        <v>Napa County</v>
      </c>
      <c r="I31">
        <f t="shared" si="4"/>
        <v>6444.9</v>
      </c>
    </row>
    <row r="32" spans="1:9" x14ac:dyDescent="0.35">
      <c r="A32" t="s">
        <v>19</v>
      </c>
      <c r="B32" t="s">
        <v>49</v>
      </c>
      <c r="C32">
        <v>1809.3</v>
      </c>
      <c r="G32" t="str">
        <f t="shared" si="2"/>
        <v>California</v>
      </c>
      <c r="H32" t="str">
        <f t="shared" si="3"/>
        <v>Nevada County</v>
      </c>
      <c r="I32">
        <f t="shared" si="4"/>
        <v>1809.3</v>
      </c>
    </row>
    <row r="33" spans="1:9" x14ac:dyDescent="0.35">
      <c r="A33" t="s">
        <v>19</v>
      </c>
      <c r="B33" t="s">
        <v>188</v>
      </c>
      <c r="C33">
        <v>9680.399999999996</v>
      </c>
      <c r="G33" t="str">
        <f t="shared" si="2"/>
        <v>California</v>
      </c>
      <c r="H33" t="str">
        <f t="shared" si="3"/>
        <v>Orange County</v>
      </c>
      <c r="I33">
        <f t="shared" si="4"/>
        <v>9680.399999999996</v>
      </c>
    </row>
    <row r="34" spans="1:9" x14ac:dyDescent="0.35">
      <c r="A34" t="s">
        <v>19</v>
      </c>
      <c r="B34" t="s">
        <v>52</v>
      </c>
      <c r="C34">
        <v>9414.7999999999993</v>
      </c>
      <c r="G34" t="str">
        <f t="shared" si="2"/>
        <v>California</v>
      </c>
      <c r="H34" t="str">
        <f t="shared" si="3"/>
        <v>Placer County</v>
      </c>
      <c r="I34">
        <f t="shared" si="4"/>
        <v>9414.7999999999993</v>
      </c>
    </row>
    <row r="35" spans="1:9" x14ac:dyDescent="0.35">
      <c r="A35" t="s">
        <v>19</v>
      </c>
      <c r="B35" t="s">
        <v>338</v>
      </c>
      <c r="C35">
        <v>206.1</v>
      </c>
      <c r="G35" t="str">
        <f t="shared" si="2"/>
        <v>California</v>
      </c>
      <c r="H35" t="str">
        <f t="shared" si="3"/>
        <v>Plumas County</v>
      </c>
      <c r="I35">
        <f t="shared" si="4"/>
        <v>206.1</v>
      </c>
    </row>
    <row r="36" spans="1:9" x14ac:dyDescent="0.35">
      <c r="A36" t="s">
        <v>19</v>
      </c>
      <c r="B36" t="s">
        <v>158</v>
      </c>
      <c r="C36">
        <v>7691.3</v>
      </c>
      <c r="G36" t="str">
        <f t="shared" si="2"/>
        <v>California</v>
      </c>
      <c r="H36" t="str">
        <f t="shared" si="3"/>
        <v>Riverside County</v>
      </c>
      <c r="I36">
        <f t="shared" si="4"/>
        <v>7691.3</v>
      </c>
    </row>
    <row r="37" spans="1:9" x14ac:dyDescent="0.35">
      <c r="A37" t="s">
        <v>19</v>
      </c>
      <c r="B37" t="s">
        <v>55</v>
      </c>
      <c r="C37">
        <v>37784.900000000016</v>
      </c>
      <c r="G37" t="str">
        <f t="shared" si="2"/>
        <v>California</v>
      </c>
      <c r="H37" t="str">
        <f t="shared" si="3"/>
        <v>Sacramento County</v>
      </c>
      <c r="I37">
        <f t="shared" si="4"/>
        <v>37784.900000000016</v>
      </c>
    </row>
    <row r="38" spans="1:9" x14ac:dyDescent="0.35">
      <c r="A38" t="s">
        <v>19</v>
      </c>
      <c r="B38" t="s">
        <v>342</v>
      </c>
      <c r="C38">
        <v>1129.7</v>
      </c>
      <c r="G38" t="str">
        <f t="shared" si="2"/>
        <v>California</v>
      </c>
      <c r="H38" t="str">
        <f t="shared" si="3"/>
        <v>San Benito County</v>
      </c>
      <c r="I38">
        <f t="shared" si="4"/>
        <v>1129.7</v>
      </c>
    </row>
    <row r="39" spans="1:9" x14ac:dyDescent="0.35">
      <c r="A39" t="s">
        <v>19</v>
      </c>
      <c r="B39" t="s">
        <v>59</v>
      </c>
      <c r="C39">
        <v>20988.9</v>
      </c>
      <c r="G39" t="str">
        <f t="shared" si="2"/>
        <v>California</v>
      </c>
      <c r="H39" t="str">
        <f t="shared" si="3"/>
        <v>San Bernardino County</v>
      </c>
      <c r="I39">
        <f t="shared" si="4"/>
        <v>20988.9</v>
      </c>
    </row>
    <row r="40" spans="1:9" x14ac:dyDescent="0.35">
      <c r="A40" t="s">
        <v>19</v>
      </c>
      <c r="B40" t="s">
        <v>62</v>
      </c>
      <c r="C40">
        <v>98367.099999999977</v>
      </c>
      <c r="G40" t="str">
        <f t="shared" si="2"/>
        <v>California</v>
      </c>
      <c r="H40" t="str">
        <f t="shared" si="3"/>
        <v>San Diego County</v>
      </c>
      <c r="I40">
        <f t="shared" si="4"/>
        <v>98367.099999999977</v>
      </c>
    </row>
    <row r="41" spans="1:9" x14ac:dyDescent="0.35">
      <c r="A41" t="s">
        <v>19</v>
      </c>
      <c r="B41" t="s">
        <v>103</v>
      </c>
      <c r="C41">
        <v>21911.9</v>
      </c>
      <c r="G41" t="str">
        <f t="shared" si="2"/>
        <v>California</v>
      </c>
      <c r="H41" t="str">
        <f t="shared" si="3"/>
        <v>San Francisco</v>
      </c>
      <c r="I41">
        <f t="shared" si="4"/>
        <v>21911.9</v>
      </c>
    </row>
    <row r="42" spans="1:9" x14ac:dyDescent="0.35">
      <c r="A42" t="s">
        <v>19</v>
      </c>
      <c r="B42" t="s">
        <v>201</v>
      </c>
      <c r="C42">
        <v>5441.2</v>
      </c>
      <c r="G42" t="str">
        <f t="shared" si="2"/>
        <v>California</v>
      </c>
      <c r="H42" t="str">
        <f t="shared" si="3"/>
        <v>San Joaquin County</v>
      </c>
      <c r="I42">
        <f t="shared" si="4"/>
        <v>5441.2</v>
      </c>
    </row>
    <row r="43" spans="1:9" x14ac:dyDescent="0.35">
      <c r="A43" t="s">
        <v>19</v>
      </c>
      <c r="B43" t="s">
        <v>429</v>
      </c>
      <c r="C43">
        <v>392.8</v>
      </c>
      <c r="G43" t="str">
        <f t="shared" si="2"/>
        <v>California</v>
      </c>
      <c r="H43" t="str">
        <f t="shared" si="3"/>
        <v>San Luis Obispo County</v>
      </c>
      <c r="I43">
        <f t="shared" si="4"/>
        <v>392.8</v>
      </c>
    </row>
    <row r="44" spans="1:9" x14ac:dyDescent="0.35">
      <c r="A44" t="s">
        <v>19</v>
      </c>
      <c r="B44" t="s">
        <v>72</v>
      </c>
      <c r="C44">
        <v>16172.000000000005</v>
      </c>
      <c r="G44" t="str">
        <f t="shared" si="2"/>
        <v>California</v>
      </c>
      <c r="H44" t="str">
        <f t="shared" si="3"/>
        <v>San Mateo County</v>
      </c>
      <c r="I44">
        <f t="shared" si="4"/>
        <v>16172.000000000005</v>
      </c>
    </row>
    <row r="45" spans="1:9" x14ac:dyDescent="0.35">
      <c r="A45" t="s">
        <v>19</v>
      </c>
      <c r="B45" t="s">
        <v>74</v>
      </c>
      <c r="C45">
        <v>4334.9999999999991</v>
      </c>
      <c r="G45" t="str">
        <f t="shared" si="2"/>
        <v>California</v>
      </c>
      <c r="H45" t="str">
        <f t="shared" si="3"/>
        <v>Santa Barbara County</v>
      </c>
      <c r="I45">
        <f t="shared" si="4"/>
        <v>4334.9999999999991</v>
      </c>
    </row>
    <row r="46" spans="1:9" x14ac:dyDescent="0.35">
      <c r="A46" t="s">
        <v>19</v>
      </c>
      <c r="B46" t="s">
        <v>77</v>
      </c>
      <c r="C46">
        <v>37449.000000000007</v>
      </c>
      <c r="G46" t="str">
        <f t="shared" si="2"/>
        <v>California</v>
      </c>
      <c r="H46" t="str">
        <f t="shared" si="3"/>
        <v>Santa Clara County</v>
      </c>
      <c r="I46">
        <f t="shared" si="4"/>
        <v>37449.000000000007</v>
      </c>
    </row>
    <row r="47" spans="1:9" x14ac:dyDescent="0.35">
      <c r="A47" t="s">
        <v>19</v>
      </c>
      <c r="B47" t="s">
        <v>309</v>
      </c>
      <c r="C47">
        <v>2447.5</v>
      </c>
      <c r="G47" t="str">
        <f t="shared" si="2"/>
        <v>California</v>
      </c>
      <c r="H47" t="str">
        <f t="shared" si="3"/>
        <v>Santa Cruz County</v>
      </c>
      <c r="I47">
        <f t="shared" si="4"/>
        <v>2447.5</v>
      </c>
    </row>
    <row r="48" spans="1:9" x14ac:dyDescent="0.35">
      <c r="A48" t="s">
        <v>19</v>
      </c>
      <c r="B48" t="s">
        <v>1116</v>
      </c>
      <c r="C48">
        <v>3391.1</v>
      </c>
      <c r="G48" t="str">
        <f t="shared" si="2"/>
        <v>California</v>
      </c>
      <c r="H48" t="str">
        <f t="shared" si="3"/>
        <v>Shasta County</v>
      </c>
      <c r="I48">
        <f t="shared" si="4"/>
        <v>3391.1</v>
      </c>
    </row>
    <row r="49" spans="1:9" x14ac:dyDescent="0.35">
      <c r="A49" t="s">
        <v>19</v>
      </c>
      <c r="B49" t="s">
        <v>700</v>
      </c>
      <c r="C49">
        <v>30.8</v>
      </c>
      <c r="G49" t="str">
        <f t="shared" si="2"/>
        <v>California</v>
      </c>
      <c r="H49" t="str">
        <f t="shared" si="3"/>
        <v>Sierra County</v>
      </c>
      <c r="I49">
        <f t="shared" si="4"/>
        <v>30.8</v>
      </c>
    </row>
    <row r="50" spans="1:9" x14ac:dyDescent="0.35">
      <c r="A50" t="s">
        <v>19</v>
      </c>
      <c r="B50" t="s">
        <v>268</v>
      </c>
      <c r="C50">
        <v>332.3</v>
      </c>
      <c r="G50" t="str">
        <f t="shared" si="2"/>
        <v>California</v>
      </c>
      <c r="H50" t="str">
        <f t="shared" si="3"/>
        <v>Siskiyou County</v>
      </c>
      <c r="I50">
        <f t="shared" si="4"/>
        <v>332.3</v>
      </c>
    </row>
    <row r="51" spans="1:9" x14ac:dyDescent="0.35">
      <c r="A51" t="s">
        <v>19</v>
      </c>
      <c r="B51" t="s">
        <v>377</v>
      </c>
      <c r="C51">
        <v>3175.9999999999995</v>
      </c>
      <c r="G51" t="str">
        <f t="shared" si="2"/>
        <v>California</v>
      </c>
      <c r="H51" t="str">
        <f t="shared" si="3"/>
        <v>Solano County</v>
      </c>
      <c r="I51">
        <f t="shared" si="4"/>
        <v>3175.9999999999995</v>
      </c>
    </row>
    <row r="52" spans="1:9" x14ac:dyDescent="0.35">
      <c r="A52" t="s">
        <v>19</v>
      </c>
      <c r="B52" t="s">
        <v>108</v>
      </c>
      <c r="C52">
        <v>20939.600000000002</v>
      </c>
      <c r="G52" t="str">
        <f t="shared" si="2"/>
        <v>California</v>
      </c>
      <c r="H52" t="str">
        <f t="shared" si="3"/>
        <v>Sonoma County</v>
      </c>
      <c r="I52">
        <f t="shared" si="4"/>
        <v>20939.600000000002</v>
      </c>
    </row>
    <row r="53" spans="1:9" x14ac:dyDescent="0.35">
      <c r="A53" t="s">
        <v>19</v>
      </c>
      <c r="B53" t="s">
        <v>110</v>
      </c>
      <c r="C53">
        <v>10185.899999999996</v>
      </c>
      <c r="G53" t="str">
        <f t="shared" si="2"/>
        <v>California</v>
      </c>
      <c r="H53" t="str">
        <f t="shared" si="3"/>
        <v>Stanislaus County</v>
      </c>
      <c r="I53">
        <f t="shared" si="4"/>
        <v>10185.899999999996</v>
      </c>
    </row>
    <row r="54" spans="1:9" x14ac:dyDescent="0.35">
      <c r="A54" t="s">
        <v>19</v>
      </c>
      <c r="B54" t="s">
        <v>292</v>
      </c>
      <c r="C54">
        <v>958.7</v>
      </c>
      <c r="G54" t="str">
        <f t="shared" si="2"/>
        <v>California</v>
      </c>
      <c r="H54" t="str">
        <f t="shared" si="3"/>
        <v>Sutter County</v>
      </c>
      <c r="I54">
        <f t="shared" si="4"/>
        <v>958.7</v>
      </c>
    </row>
    <row r="55" spans="1:9" x14ac:dyDescent="0.35">
      <c r="A55" t="s">
        <v>19</v>
      </c>
      <c r="B55" t="s">
        <v>79</v>
      </c>
      <c r="C55">
        <v>323</v>
      </c>
      <c r="G55" t="str">
        <f t="shared" si="2"/>
        <v>California</v>
      </c>
      <c r="H55" t="str">
        <f t="shared" si="3"/>
        <v>Tehama County</v>
      </c>
      <c r="I55">
        <f t="shared" si="4"/>
        <v>323</v>
      </c>
    </row>
    <row r="56" spans="1:9" x14ac:dyDescent="0.35">
      <c r="A56" t="s">
        <v>19</v>
      </c>
      <c r="B56" t="s">
        <v>608</v>
      </c>
      <c r="C56">
        <v>167.70000000000002</v>
      </c>
      <c r="G56" t="str">
        <f t="shared" si="2"/>
        <v>California</v>
      </c>
      <c r="H56" t="str">
        <f t="shared" si="3"/>
        <v>Trinity County</v>
      </c>
      <c r="I56">
        <f t="shared" si="4"/>
        <v>167.70000000000002</v>
      </c>
    </row>
    <row r="57" spans="1:9" x14ac:dyDescent="0.35">
      <c r="A57" t="s">
        <v>19</v>
      </c>
      <c r="B57" t="s">
        <v>113</v>
      </c>
      <c r="C57">
        <v>3978.5</v>
      </c>
      <c r="G57" t="str">
        <f t="shared" si="2"/>
        <v>California</v>
      </c>
      <c r="H57" t="str">
        <f t="shared" si="3"/>
        <v>Tulare County</v>
      </c>
      <c r="I57">
        <f t="shared" si="4"/>
        <v>3978.5</v>
      </c>
    </row>
    <row r="58" spans="1:9" x14ac:dyDescent="0.35">
      <c r="A58" t="s">
        <v>19</v>
      </c>
      <c r="B58" t="s">
        <v>997</v>
      </c>
      <c r="C58">
        <v>1405</v>
      </c>
      <c r="G58" t="str">
        <f t="shared" si="2"/>
        <v>California</v>
      </c>
      <c r="H58" t="str">
        <f t="shared" si="3"/>
        <v>Tuolumne County</v>
      </c>
      <c r="I58">
        <f t="shared" si="4"/>
        <v>1405</v>
      </c>
    </row>
    <row r="59" spans="1:9" x14ac:dyDescent="0.35">
      <c r="A59" t="s">
        <v>19</v>
      </c>
      <c r="B59" t="s">
        <v>82</v>
      </c>
      <c r="C59">
        <v>9869.0999999999985</v>
      </c>
      <c r="G59" t="str">
        <f t="shared" si="2"/>
        <v>California</v>
      </c>
      <c r="H59" t="str">
        <f t="shared" si="3"/>
        <v>Ventura County</v>
      </c>
      <c r="I59">
        <f t="shared" si="4"/>
        <v>9869.0999999999985</v>
      </c>
    </row>
    <row r="60" spans="1:9" x14ac:dyDescent="0.35">
      <c r="A60" t="s">
        <v>19</v>
      </c>
      <c r="B60" t="s">
        <v>243</v>
      </c>
      <c r="C60">
        <v>615.29999999999995</v>
      </c>
      <c r="G60" t="str">
        <f t="shared" si="2"/>
        <v>California</v>
      </c>
      <c r="H60" t="str">
        <f t="shared" si="3"/>
        <v>Yolo County</v>
      </c>
      <c r="I60">
        <f t="shared" si="4"/>
        <v>615.29999999999995</v>
      </c>
    </row>
    <row r="61" spans="1:9" x14ac:dyDescent="0.35">
      <c r="A61" t="s">
        <v>19</v>
      </c>
      <c r="B61" t="s">
        <v>1911</v>
      </c>
      <c r="C61">
        <v>285</v>
      </c>
      <c r="G61" t="str">
        <f t="shared" si="2"/>
        <v>California</v>
      </c>
      <c r="H61" t="str">
        <f t="shared" si="3"/>
        <v>Yuba County</v>
      </c>
      <c r="I61">
        <f t="shared" si="4"/>
        <v>285</v>
      </c>
    </row>
    <row r="62" spans="1:9" x14ac:dyDescent="0.35">
      <c r="A62" t="s">
        <v>2537</v>
      </c>
      <c r="C62">
        <v>649019.79999999981</v>
      </c>
      <c r="G62" t="str">
        <f t="shared" si="2"/>
        <v>California Total</v>
      </c>
      <c r="H62" t="str">
        <f t="shared" si="3"/>
        <v/>
      </c>
      <c r="I62">
        <f t="shared" si="4"/>
        <v>649019.79999999981</v>
      </c>
    </row>
    <row r="63" spans="1:9" x14ac:dyDescent="0.35">
      <c r="A63" t="s">
        <v>2528</v>
      </c>
      <c r="C63">
        <v>649019.79999999981</v>
      </c>
      <c r="G63" t="str">
        <f t="shared" si="2"/>
        <v>Grand Total</v>
      </c>
      <c r="H63" t="str">
        <f t="shared" si="3"/>
        <v/>
      </c>
      <c r="I63">
        <f t="shared" si="4"/>
        <v>649019.79999999981</v>
      </c>
    </row>
    <row r="64" spans="1:9" x14ac:dyDescent="0.35">
      <c r="G64" t="str">
        <f t="shared" si="2"/>
        <v/>
      </c>
      <c r="H64" t="str">
        <f t="shared" si="3"/>
        <v/>
      </c>
      <c r="I64" t="str">
        <f t="shared" si="4"/>
        <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DF8EA-F2D7-4D1E-B2AB-CEEFEA6B424A}">
  <dimension ref="A3:B19"/>
  <sheetViews>
    <sheetView workbookViewId="0">
      <selection activeCell="B6" sqref="B6"/>
    </sheetView>
  </sheetViews>
  <sheetFormatPr defaultRowHeight="14.5" x14ac:dyDescent="0.35"/>
  <cols>
    <col min="1" max="2" width="12.453125" bestFit="1" customWidth="1"/>
  </cols>
  <sheetData>
    <row r="3" spans="1:2" x14ac:dyDescent="0.35">
      <c r="A3" s="6" t="s">
        <v>2527</v>
      </c>
      <c r="B3" t="s">
        <v>2518</v>
      </c>
    </row>
    <row r="4" spans="1:2" x14ac:dyDescent="0.35">
      <c r="A4" s="7">
        <v>0</v>
      </c>
      <c r="B4">
        <v>175</v>
      </c>
    </row>
    <row r="5" spans="1:2" x14ac:dyDescent="0.35">
      <c r="A5" s="7">
        <v>1</v>
      </c>
      <c r="B5">
        <v>888</v>
      </c>
    </row>
    <row r="6" spans="1:2" x14ac:dyDescent="0.35">
      <c r="A6" s="7">
        <v>2</v>
      </c>
      <c r="B6">
        <v>538</v>
      </c>
    </row>
    <row r="7" spans="1:2" x14ac:dyDescent="0.35">
      <c r="A7" s="7">
        <v>3</v>
      </c>
      <c r="B7">
        <v>344</v>
      </c>
    </row>
    <row r="8" spans="1:2" x14ac:dyDescent="0.35">
      <c r="A8" s="7">
        <v>4</v>
      </c>
      <c r="B8">
        <v>200</v>
      </c>
    </row>
    <row r="9" spans="1:2" x14ac:dyDescent="0.35">
      <c r="A9" s="7">
        <v>5</v>
      </c>
      <c r="B9">
        <v>94</v>
      </c>
    </row>
    <row r="10" spans="1:2" x14ac:dyDescent="0.35">
      <c r="A10" s="7">
        <v>6</v>
      </c>
      <c r="B10">
        <v>51</v>
      </c>
    </row>
    <row r="11" spans="1:2" x14ac:dyDescent="0.35">
      <c r="A11" s="7">
        <v>7</v>
      </c>
      <c r="B11">
        <v>32</v>
      </c>
    </row>
    <row r="12" spans="1:2" x14ac:dyDescent="0.35">
      <c r="A12" s="7">
        <v>8</v>
      </c>
      <c r="B12">
        <v>23</v>
      </c>
    </row>
    <row r="13" spans="1:2" x14ac:dyDescent="0.35">
      <c r="A13" s="7">
        <v>9</v>
      </c>
      <c r="B13">
        <v>9</v>
      </c>
    </row>
    <row r="14" spans="1:2" x14ac:dyDescent="0.35">
      <c r="A14" s="7">
        <v>10</v>
      </c>
      <c r="B14">
        <v>8</v>
      </c>
    </row>
    <row r="15" spans="1:2" x14ac:dyDescent="0.35">
      <c r="A15" s="7">
        <v>11</v>
      </c>
      <c r="B15">
        <v>11</v>
      </c>
    </row>
    <row r="16" spans="1:2" x14ac:dyDescent="0.35">
      <c r="A16" s="7">
        <v>12</v>
      </c>
      <c r="B16">
        <v>4</v>
      </c>
    </row>
    <row r="17" spans="1:2" x14ac:dyDescent="0.35">
      <c r="A17" s="7">
        <v>13</v>
      </c>
      <c r="B17">
        <v>10</v>
      </c>
    </row>
    <row r="18" spans="1:2" x14ac:dyDescent="0.35">
      <c r="A18" s="7">
        <v>14</v>
      </c>
      <c r="B18">
        <v>13</v>
      </c>
    </row>
    <row r="19" spans="1:2" x14ac:dyDescent="0.35">
      <c r="A19" s="7" t="s">
        <v>2528</v>
      </c>
      <c r="B19">
        <v>2400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36DFF-DB33-4DAA-8C10-B81E8051457B}">
  <dimension ref="A3:G8"/>
  <sheetViews>
    <sheetView workbookViewId="0">
      <selection activeCell="G13" sqref="G13"/>
    </sheetView>
  </sheetViews>
  <sheetFormatPr defaultRowHeight="14.5" x14ac:dyDescent="0.35"/>
  <cols>
    <col min="1" max="1" width="12.453125" bestFit="1" customWidth="1"/>
    <col min="2" max="2" width="15.6328125" bestFit="1" customWidth="1"/>
    <col min="3" max="4" width="3.81640625" bestFit="1" customWidth="1"/>
    <col min="5" max="5" width="4.81640625" bestFit="1" customWidth="1"/>
    <col min="6" max="6" width="3.81640625" bestFit="1" customWidth="1"/>
    <col min="7" max="7" width="10.36328125" bestFit="1" customWidth="1"/>
    <col min="8" max="32" width="8.81640625" bestFit="1" customWidth="1"/>
    <col min="33" max="89" width="9.1796875" bestFit="1" customWidth="1"/>
    <col min="90" max="90" width="10.36328125" bestFit="1" customWidth="1"/>
  </cols>
  <sheetData>
    <row r="3" spans="1:7" x14ac:dyDescent="0.35">
      <c r="A3" s="6" t="s">
        <v>2518</v>
      </c>
      <c r="B3" s="6" t="s">
        <v>2529</v>
      </c>
    </row>
    <row r="4" spans="1:7" x14ac:dyDescent="0.35">
      <c r="A4" s="6" t="s">
        <v>2527</v>
      </c>
      <c r="B4">
        <v>1</v>
      </c>
      <c r="C4">
        <v>2</v>
      </c>
      <c r="D4">
        <v>3</v>
      </c>
      <c r="E4">
        <v>4</v>
      </c>
      <c r="F4">
        <v>5</v>
      </c>
      <c r="G4" t="s">
        <v>2528</v>
      </c>
    </row>
    <row r="5" spans="1:7" x14ac:dyDescent="0.35">
      <c r="A5" s="7" t="s">
        <v>2539</v>
      </c>
      <c r="B5">
        <v>7</v>
      </c>
      <c r="C5">
        <v>37</v>
      </c>
      <c r="D5">
        <v>150</v>
      </c>
      <c r="E5">
        <v>312</v>
      </c>
      <c r="F5">
        <v>224</v>
      </c>
      <c r="G5">
        <v>730</v>
      </c>
    </row>
    <row r="6" spans="1:7" x14ac:dyDescent="0.35">
      <c r="A6" s="7" t="s">
        <v>2540</v>
      </c>
      <c r="B6">
        <v>8</v>
      </c>
      <c r="C6">
        <v>51</v>
      </c>
      <c r="D6">
        <v>182</v>
      </c>
      <c r="E6">
        <v>373</v>
      </c>
      <c r="F6">
        <v>247</v>
      </c>
      <c r="G6">
        <v>861</v>
      </c>
    </row>
    <row r="7" spans="1:7" x14ac:dyDescent="0.35">
      <c r="A7" s="7" t="s">
        <v>2541</v>
      </c>
      <c r="B7">
        <v>6</v>
      </c>
      <c r="C7">
        <v>39</v>
      </c>
      <c r="D7">
        <v>163</v>
      </c>
      <c r="E7">
        <v>351</v>
      </c>
      <c r="F7">
        <v>250</v>
      </c>
      <c r="G7">
        <v>809</v>
      </c>
    </row>
    <row r="8" spans="1:7" x14ac:dyDescent="0.35">
      <c r="A8" s="7" t="s">
        <v>2528</v>
      </c>
      <c r="B8">
        <v>21</v>
      </c>
      <c r="C8">
        <v>127</v>
      </c>
      <c r="D8">
        <v>495</v>
      </c>
      <c r="E8">
        <v>1036</v>
      </c>
      <c r="F8">
        <v>721</v>
      </c>
      <c r="G8">
        <v>2400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8F382-D2C5-4CBD-9A1E-2A5EFD070FBF}">
  <dimension ref="A2:L22"/>
  <sheetViews>
    <sheetView workbookViewId="0">
      <selection activeCell="G18" sqref="G18"/>
    </sheetView>
  </sheetViews>
  <sheetFormatPr defaultRowHeight="14.5" x14ac:dyDescent="0.35"/>
  <cols>
    <col min="1" max="1" width="12.453125" bestFit="1" customWidth="1"/>
    <col min="2" max="2" width="14.26953125" bestFit="1" customWidth="1"/>
    <col min="3" max="3" width="13.6328125" bestFit="1" customWidth="1"/>
    <col min="4" max="4" width="16.81640625" bestFit="1" customWidth="1"/>
    <col min="5" max="5" width="22.36328125" bestFit="1" customWidth="1"/>
    <col min="11" max="11" width="10" customWidth="1"/>
  </cols>
  <sheetData>
    <row r="2" spans="1:12" x14ac:dyDescent="0.35">
      <c r="H2" t="s">
        <v>2522</v>
      </c>
    </row>
    <row r="3" spans="1:12" x14ac:dyDescent="0.35">
      <c r="A3" t="s">
        <v>2518</v>
      </c>
      <c r="B3" t="s">
        <v>2519</v>
      </c>
      <c r="C3" t="s">
        <v>2520</v>
      </c>
      <c r="D3" t="s">
        <v>2521</v>
      </c>
      <c r="E3" t="s">
        <v>2525</v>
      </c>
      <c r="H3" t="s">
        <v>2523</v>
      </c>
      <c r="I3" t="s">
        <v>2</v>
      </c>
      <c r="J3" t="s">
        <v>4</v>
      </c>
      <c r="K3" t="s">
        <v>2507</v>
      </c>
      <c r="L3" t="s">
        <v>2524</v>
      </c>
    </row>
    <row r="4" spans="1:12" x14ac:dyDescent="0.35">
      <c r="A4">
        <v>2400</v>
      </c>
      <c r="B4">
        <v>11997</v>
      </c>
      <c r="C4">
        <v>649019.80000000144</v>
      </c>
      <c r="D4">
        <v>3.9620833333333332</v>
      </c>
      <c r="E4">
        <v>2.3424999999999998</v>
      </c>
      <c r="H4" t="str">
        <f>TEXT(A4,"#,##")</f>
        <v>2,400</v>
      </c>
      <c r="I4" t="str">
        <f t="shared" ref="I4" si="0">TEXT(B4,"#,##")</f>
        <v>11,997</v>
      </c>
      <c r="J4" t="str">
        <f>TEXT(C4,"$#,##,.0k")</f>
        <v>$649.0k</v>
      </c>
      <c r="K4" t="str">
        <f>TEXT(D4,"0.0")</f>
        <v>4.0</v>
      </c>
      <c r="L4" t="str">
        <f>TEXT(E4,"0.0")</f>
        <v>2.3</v>
      </c>
    </row>
    <row r="7" spans="1:12" x14ac:dyDescent="0.35">
      <c r="A7" s="5" t="s">
        <v>2526</v>
      </c>
    </row>
    <row r="8" spans="1:12" x14ac:dyDescent="0.35">
      <c r="A8" s="6" t="s">
        <v>2527</v>
      </c>
      <c r="B8" t="s">
        <v>2519</v>
      </c>
      <c r="C8" t="s">
        <v>2520</v>
      </c>
    </row>
    <row r="9" spans="1:12" x14ac:dyDescent="0.35">
      <c r="A9" s="7">
        <v>1</v>
      </c>
      <c r="B9">
        <v>546</v>
      </c>
      <c r="C9" s="8">
        <v>32413.300000000003</v>
      </c>
    </row>
    <row r="10" spans="1:12" x14ac:dyDescent="0.35">
      <c r="A10" s="7">
        <v>2</v>
      </c>
      <c r="B10">
        <v>905</v>
      </c>
      <c r="C10" s="8">
        <v>49562.999999999993</v>
      </c>
    </row>
    <row r="11" spans="1:12" x14ac:dyDescent="0.35">
      <c r="A11" s="7">
        <v>3</v>
      </c>
      <c r="B11">
        <v>796</v>
      </c>
      <c r="C11" s="8">
        <v>41700.400000000016</v>
      </c>
    </row>
    <row r="12" spans="1:12" x14ac:dyDescent="0.35">
      <c r="A12" s="7">
        <v>4</v>
      </c>
      <c r="B12">
        <v>913</v>
      </c>
      <c r="C12" s="8">
        <v>46782.599999999984</v>
      </c>
    </row>
    <row r="13" spans="1:12" x14ac:dyDescent="0.35">
      <c r="A13" s="7">
        <v>5</v>
      </c>
      <c r="B13">
        <v>844</v>
      </c>
      <c r="C13" s="8">
        <v>42676.100000000006</v>
      </c>
    </row>
    <row r="14" spans="1:12" x14ac:dyDescent="0.35">
      <c r="A14" s="7">
        <v>6</v>
      </c>
      <c r="B14">
        <v>1202</v>
      </c>
      <c r="C14" s="8">
        <v>62910.7</v>
      </c>
    </row>
    <row r="15" spans="1:12" x14ac:dyDescent="0.35">
      <c r="A15" s="7">
        <v>7</v>
      </c>
      <c r="B15">
        <v>935</v>
      </c>
      <c r="C15" s="8">
        <v>50332.200000000004</v>
      </c>
    </row>
    <row r="16" spans="1:12" x14ac:dyDescent="0.35">
      <c r="A16" s="7">
        <v>8</v>
      </c>
      <c r="B16">
        <v>1128</v>
      </c>
      <c r="C16" s="8">
        <v>58760.599999999977</v>
      </c>
    </row>
    <row r="17" spans="1:3" x14ac:dyDescent="0.35">
      <c r="A17" s="7">
        <v>9</v>
      </c>
      <c r="B17">
        <v>1007</v>
      </c>
      <c r="C17" s="8">
        <v>52017.299999999996</v>
      </c>
    </row>
    <row r="18" spans="1:3" x14ac:dyDescent="0.35">
      <c r="A18" s="7">
        <v>10</v>
      </c>
      <c r="B18">
        <v>1128</v>
      </c>
      <c r="C18" s="8">
        <v>64915.700000000033</v>
      </c>
    </row>
    <row r="19" spans="1:3" x14ac:dyDescent="0.35">
      <c r="A19" s="7">
        <v>11</v>
      </c>
      <c r="B19">
        <v>861</v>
      </c>
      <c r="C19" s="8">
        <v>45943.80000000001</v>
      </c>
    </row>
    <row r="20" spans="1:3" x14ac:dyDescent="0.35">
      <c r="A20" s="7">
        <v>12</v>
      </c>
      <c r="B20">
        <v>944</v>
      </c>
      <c r="C20" s="8">
        <v>55077.900000000031</v>
      </c>
    </row>
    <row r="21" spans="1:3" x14ac:dyDescent="0.35">
      <c r="A21" s="7">
        <v>13</v>
      </c>
      <c r="B21">
        <v>788</v>
      </c>
      <c r="C21" s="8">
        <v>45926.19999999999</v>
      </c>
    </row>
    <row r="22" spans="1:3" x14ac:dyDescent="0.35">
      <c r="A22" s="7" t="s">
        <v>2528</v>
      </c>
      <c r="B22">
        <v>11997</v>
      </c>
      <c r="C22" s="8">
        <v>649019.79999999993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B4" sqref="B4"/>
    </sheetView>
  </sheetViews>
  <sheetFormatPr defaultRowHeight="14.5" x14ac:dyDescent="0.35"/>
  <cols>
    <col min="2" max="2" width="19.08984375" bestFit="1" customWidth="1"/>
    <col min="3" max="3" width="8.08984375" bestFit="1" customWidth="1"/>
    <col min="4" max="4" width="9.08984375" bestFit="1" customWidth="1"/>
    <col min="5" max="5" width="7.453125" bestFit="1" customWidth="1"/>
    <col min="6" max="6" width="10" bestFit="1" customWidth="1"/>
    <col min="7" max="7" width="9.453125" bestFit="1" customWidth="1"/>
    <col min="8" max="8" width="15.6328125" bestFit="1" customWidth="1"/>
    <col min="9" max="9" width="10.6328125" bestFit="1" customWidth="1"/>
    <col min="10" max="10" width="7.81640625" bestFit="1" customWidth="1"/>
    <col min="11" max="11" width="8.81640625" bestFit="1" customWidth="1"/>
    <col min="12" max="12" width="19.6328125" bestFit="1" customWidth="1"/>
    <col min="13" max="13" width="13.36328125" bestFit="1" customWidth="1"/>
    <col min="14" max="14" width="9.36328125" bestFit="1" customWidth="1"/>
    <col min="15" max="15" width="12.08984375" bestFit="1" customWidth="1"/>
  </cols>
  <sheetData>
    <row r="1" spans="1:15" x14ac:dyDescent="0.35">
      <c r="A1" t="s">
        <v>0</v>
      </c>
      <c r="B1" t="s">
        <v>1</v>
      </c>
      <c r="C1" t="s">
        <v>2</v>
      </c>
      <c r="D1" t="s">
        <v>3</v>
      </c>
      <c r="E1" t="s">
        <v>4</v>
      </c>
      <c r="F1" t="s">
        <v>5</v>
      </c>
      <c r="G1" t="s">
        <v>6</v>
      </c>
      <c r="H1" t="s">
        <v>7</v>
      </c>
      <c r="I1" t="s">
        <v>8</v>
      </c>
      <c r="J1" t="s">
        <v>9</v>
      </c>
      <c r="K1" t="s">
        <v>10</v>
      </c>
      <c r="L1" t="s">
        <v>11</v>
      </c>
      <c r="M1" s="2" t="s">
        <v>12</v>
      </c>
      <c r="N1" s="2" t="s">
        <v>13</v>
      </c>
      <c r="O1" s="2" t="s">
        <v>14</v>
      </c>
    </row>
    <row r="2" spans="1:15" x14ac:dyDescent="0.3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1A9B-5E21-48E6-8C73-E48436765E3C}">
  <dimension ref="A1"/>
  <sheetViews>
    <sheetView tabSelected="1" zoomScale="70" zoomScaleNormal="70" workbookViewId="0">
      <selection activeCell="AA17" sqref="AA17"/>
    </sheetView>
  </sheetViews>
  <sheetFormatPr defaultRowHeight="14.5" x14ac:dyDescent="0.35"/>
  <cols>
    <col min="1" max="1" width="3.1796875" customWidth="1"/>
    <col min="2" max="2" width="19.1796875" customWidth="1"/>
    <col min="3" max="3" width="3.54296875" customWidth="1"/>
  </cols>
  <sheetData/>
  <sheetProtection algorithmName="SHA-512" hashValue="Sh1xD+moiZBTuXUSZjGR24+1aH8EOSmWGYLg0YGPwbrvpPD5eVqNxcfF64eyMpT3xMMsgXu8ZORwHSfheADvJw==" saltValue="JFsu7kaMR6XLWI6saGjgJA==" spinCount="100000" sheet="1" objects="1" scenarios="1"/>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9" sqref="E9"/>
    </sheetView>
  </sheetViews>
  <sheetFormatPr defaultRowHeight="14.5" x14ac:dyDescent="0.35"/>
  <cols>
    <col min="1" max="1" width="3.6328125" customWidth="1"/>
    <col min="2" max="2" width="52.81640625" customWidth="1"/>
  </cols>
  <sheetData>
    <row r="2" spans="2:2" x14ac:dyDescent="0.35">
      <c r="B2" s="3" t="s">
        <v>2503</v>
      </c>
    </row>
    <row r="3" spans="2:2" x14ac:dyDescent="0.35">
      <c r="B3" s="4" t="s">
        <v>2504</v>
      </c>
    </row>
    <row r="4" spans="2:2" x14ac:dyDescent="0.35">
      <c r="B4" s="4" t="s">
        <v>2505</v>
      </c>
    </row>
    <row r="5" spans="2:2" x14ac:dyDescent="0.35">
      <c r="B5" s="4" t="s">
        <v>2506</v>
      </c>
    </row>
    <row r="6" spans="2:2" x14ac:dyDescent="0.35">
      <c r="B6" s="4" t="s">
        <v>2507</v>
      </c>
    </row>
    <row r="7" spans="2:2" x14ac:dyDescent="0.35">
      <c r="B7" s="4" t="s">
        <v>2508</v>
      </c>
    </row>
    <row r="10" spans="2:2" x14ac:dyDescent="0.35">
      <c r="B10" s="3" t="s">
        <v>2509</v>
      </c>
    </row>
    <row r="11" spans="2:2" x14ac:dyDescent="0.35">
      <c r="B11" t="s">
        <v>2510</v>
      </c>
    </row>
    <row r="12" spans="2:2" x14ac:dyDescent="0.35">
      <c r="B12" t="s">
        <v>2511</v>
      </c>
    </row>
    <row r="13" spans="2:2" x14ac:dyDescent="0.35">
      <c r="B13" t="s">
        <v>2512</v>
      </c>
    </row>
    <row r="14" spans="2:2" x14ac:dyDescent="0.35">
      <c r="B14" t="s">
        <v>2513</v>
      </c>
    </row>
    <row r="15" spans="2:2" x14ac:dyDescent="0.35">
      <c r="B15" t="s">
        <v>2514</v>
      </c>
    </row>
    <row r="16" spans="2:2" x14ac:dyDescent="0.35">
      <c r="B16" t="s">
        <v>2515</v>
      </c>
    </row>
    <row r="17" spans="2:2" x14ac:dyDescent="0.35">
      <c r="B17" t="s">
        <v>2516</v>
      </c>
    </row>
    <row r="18" spans="2:2" x14ac:dyDescent="0.35">
      <c r="B18" t="s">
        <v>2517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Pivot_Heatmap_Order_Mode</vt:lpstr>
      <vt:lpstr>Pivot_Order_Size</vt:lpstr>
      <vt:lpstr>Pivot_Product_Gender</vt:lpstr>
      <vt:lpstr>Pivot_Geography_Quantity</vt:lpstr>
      <vt:lpstr>Pivot_Geography_Revenue</vt:lpstr>
      <vt:lpstr>Pivot_Items_Per_Order</vt:lpstr>
      <vt:lpstr>Pivot_Monthly_Ratings</vt:lpstr>
      <vt:lpstr>KPI_Calculations</vt:lpstr>
      <vt:lpstr>Raw_Data</vt:lpstr>
      <vt:lpstr>Dashboard</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Kanishka Rani</cp:lastModifiedBy>
  <dcterms:created xsi:type="dcterms:W3CDTF">2025-06-13T02:42:26Z</dcterms:created>
  <dcterms:modified xsi:type="dcterms:W3CDTF">2026-07-08T13:21:42Z</dcterms:modified>
</cp:coreProperties>
</file>